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현재_통합_문서" defaultThemeVersion="124226"/>
  <mc:AlternateContent xmlns:mc="http://schemas.openxmlformats.org/markup-compatibility/2006">
    <mc:Choice Requires="x15">
      <x15ac:absPath xmlns:x15ac="http://schemas.microsoft.com/office/spreadsheetml/2010/11/ac" url="D:\_dev_D8_LMS\03_doc\63_동시구동(DCT요청사항)\2025년 10차_개발완료 산출물\"/>
    </mc:Choice>
  </mc:AlternateContent>
  <xr:revisionPtr revIDLastSave="0" documentId="13_ncr:1_{D306E405-42ED-4F63-B438-110EFEACBD2E}" xr6:coauthVersionLast="47" xr6:coauthVersionMax="47" xr10:uidLastSave="{00000000-0000-0000-0000-000000000000}"/>
  <bookViews>
    <workbookView xWindow="28680" yWindow="-120" windowWidth="29040" windowHeight="15840" tabRatio="873" xr2:uid="{00000000-000D-0000-FFFF-FFFF00000000}"/>
  </bookViews>
  <sheets>
    <sheet name="동시이동 FW 상세 변경내용" sheetId="15" r:id="rId1"/>
    <sheet name="Summary" sheetId="17" r:id="rId2"/>
    <sheet name="25.01요약" sheetId="18" r:id="rId3"/>
    <sheet name="Sheet5" sheetId="21" r:id="rId4"/>
    <sheet name="Sheet3" sheetId="13" state="hidden" r:id="rId5"/>
    <sheet name="Sheet4" sheetId="14" state="hidden" r:id="rId6"/>
  </sheets>
  <externalReferences>
    <externalReference r:id="rId7"/>
  </externalReferences>
  <definedNames>
    <definedName name="_xlnm._FilterDatabase" localSheetId="0" hidden="1">'동시이동 FW 상세 변경내용'!$G$4:$L$4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15" l="1"/>
  <c r="H3" i="15"/>
  <c r="H1" i="15"/>
  <c r="H2" i="15"/>
  <c r="K1" i="15"/>
  <c r="K2" i="15"/>
  <c r="C6" i="17" l="1"/>
  <c r="C4" i="17"/>
  <c r="C5" i="17"/>
  <c r="A7" i="15"/>
  <c r="A8" i="15"/>
  <c r="C7" i="17" l="1"/>
  <c r="A6" i="15"/>
  <c r="B31" i="17"/>
  <c r="B32" i="17" s="1"/>
  <c r="B33" i="17" s="1"/>
  <c r="B34" i="17" s="1"/>
  <c r="B35" i="17" s="1"/>
  <c r="B36" i="17" s="1"/>
  <c r="B38" i="17"/>
  <c r="C29" i="17" s="1"/>
  <c r="B26" i="17"/>
  <c r="B27" i="17" s="1"/>
  <c r="B28" i="17" s="1"/>
  <c r="B29" i="17" s="1"/>
  <c r="B30" i="17" s="1"/>
  <c r="A5" i="15"/>
  <c r="V6" i="13"/>
  <c r="U6" i="13"/>
  <c r="V4" i="13"/>
  <c r="U4" i="13"/>
  <c r="S4" i="13"/>
  <c r="R4" i="13"/>
  <c r="C9" i="17" l="1"/>
  <c r="D6" i="17"/>
  <c r="C34" i="17"/>
  <c r="C36" i="17"/>
  <c r="C32" i="17"/>
  <c r="C35" i="17"/>
  <c r="C31" i="17"/>
  <c r="C33" i="17"/>
  <c r="C26" i="17"/>
  <c r="C27" i="17"/>
  <c r="C30" i="17"/>
  <c r="C28" i="17"/>
  <c r="D4" i="17"/>
  <c r="D5" i="17"/>
  <c r="D7" i="17" l="1"/>
</calcChain>
</file>

<file path=xl/sharedStrings.xml><?xml version="1.0" encoding="utf-8"?>
<sst xmlns="http://schemas.openxmlformats.org/spreadsheetml/2006/main" count="270" uniqueCount="177">
  <si>
    <t>순번</t>
  </si>
  <si>
    <t xml:space="preserve">세메스향 Series A DC300V OHT Model(1.11.00.00) </t>
    <phoneticPr fontId="1" type="noConversion"/>
  </si>
  <si>
    <t>No</t>
  </si>
  <si>
    <r>
      <t>Test Items (</t>
    </r>
    <r>
      <rPr>
        <sz val="11"/>
        <color rgb="FFFF0000"/>
        <rFont val="맑은 고딕"/>
        <family val="3"/>
        <charset val="129"/>
        <scheme val="minor"/>
      </rPr>
      <t>OHT 버전</t>
    </r>
    <r>
      <rPr>
        <sz val="11"/>
        <color rgb="FF000000"/>
        <rFont val="맑은 고딕"/>
        <family val="3"/>
        <charset val="129"/>
        <scheme val="minor"/>
      </rPr>
      <t>)</t>
    </r>
    <phoneticPr fontId="1" type="noConversion"/>
  </si>
  <si>
    <t>Tester</t>
  </si>
  <si>
    <t>Test</t>
  </si>
  <si>
    <t>Test Hour</t>
  </si>
  <si>
    <t>Test 진행율</t>
  </si>
  <si>
    <t>Report</t>
  </si>
  <si>
    <t>Report Hour</t>
  </si>
  <si>
    <t>Report Review</t>
  </si>
  <si>
    <t>Review Hour</t>
  </si>
  <si>
    <t>Remark</t>
  </si>
  <si>
    <t>start</t>
  </si>
  <si>
    <t>end</t>
  </si>
  <si>
    <t>OHT 전용 긴급정지 기능 동작 확인</t>
  </si>
  <si>
    <t>하대경</t>
  </si>
  <si>
    <t>OHT 전용 이상동작 방지 기능 확인</t>
  </si>
  <si>
    <t>OHT 전용 Target Position Loop back동작 확인</t>
  </si>
  <si>
    <t>천병훈</t>
  </si>
  <si>
    <t>New ANF 기능 동작 확인</t>
  </si>
  <si>
    <t>채정훈/최연범</t>
  </si>
  <si>
    <t>DDC 2nd-Order 구동 동작 확인</t>
  </si>
  <si>
    <t>Positon Error 계산 방법 수정</t>
  </si>
  <si>
    <t>심태문</t>
  </si>
  <si>
    <t>추정 관성비 적용 개선 Logic 동작 확인</t>
  </si>
  <si>
    <t>채정훈</t>
  </si>
  <si>
    <t>RSWare 동작 확인</t>
  </si>
  <si>
    <t>김성진</t>
  </si>
  <si>
    <t>Object 동작 확인</t>
  </si>
  <si>
    <t>EtherCAT Long Run Test</t>
  </si>
  <si>
    <t>Interrupt Margin Test</t>
  </si>
  <si>
    <t>Programmed Run 동작 개선 확인</t>
  </si>
  <si>
    <t>OHT Homing Sequence Long Run Test</t>
  </si>
  <si>
    <t>최연범</t>
  </si>
  <si>
    <t>32Bit PDO Data Read개선 방식 동작 확인</t>
  </si>
  <si>
    <t xml:space="preserve">TP 통합 Series A Standard Model(2.15.99.03) </t>
    <phoneticPr fontId="1" type="noConversion"/>
  </si>
  <si>
    <r>
      <t>Test Items (</t>
    </r>
    <r>
      <rPr>
        <sz val="11"/>
        <color rgb="FFFF0000"/>
        <rFont val="맑은 고딕"/>
        <family val="3"/>
        <charset val="129"/>
        <scheme val="minor"/>
      </rPr>
      <t>CSD7 Series A TP버전</t>
    </r>
    <r>
      <rPr>
        <sz val="11"/>
        <color rgb="FF000000"/>
        <rFont val="맑은 고딕"/>
        <family val="3"/>
        <charset val="129"/>
        <scheme val="minor"/>
      </rPr>
      <t>)</t>
    </r>
    <phoneticPr fontId="1" type="noConversion"/>
  </si>
  <si>
    <t>4th, 5th Notch Filter 추가</t>
    <phoneticPr fontId="1" type="noConversion"/>
  </si>
  <si>
    <t>POC 추가</t>
    <phoneticPr fontId="1" type="noConversion"/>
  </si>
  <si>
    <t>Smart Tuning Mode 3(Path Tracking)추가 및  관련 Object추가</t>
    <phoneticPr fontId="1" type="noConversion"/>
  </si>
  <si>
    <t>단거리 자극 검출 기능 추가</t>
    <phoneticPr fontId="1" type="noConversion"/>
  </si>
  <si>
    <t>FAN 경고 감지 1s 지연 필터 추가</t>
    <phoneticPr fontId="1" type="noConversion"/>
  </si>
  <si>
    <t>RSMA, RSMP 모터 인식 추가</t>
    <phoneticPr fontId="1" type="noConversion"/>
  </si>
  <si>
    <t>Smart Tuning Full Closed 버그 개선</t>
    <phoneticPr fontId="1" type="noConversion"/>
  </si>
  <si>
    <t>Smart Tuning PreProcess 함수 적용 수정</t>
    <phoneticPr fontId="1" type="noConversion"/>
  </si>
  <si>
    <t>Bode Excitation Signal 수정</t>
    <phoneticPr fontId="1" type="noConversion"/>
  </si>
  <si>
    <t>Vertical Mode Bug 수정</t>
    <phoneticPr fontId="1" type="noConversion"/>
  </si>
  <si>
    <t>EM300 인코더 대응</t>
    <phoneticPr fontId="1" type="noConversion"/>
  </si>
  <si>
    <t>NEW ANF적용</t>
    <phoneticPr fontId="1" type="noConversion"/>
  </si>
  <si>
    <t>DDC 2차 적용</t>
    <phoneticPr fontId="1" type="noConversion"/>
  </si>
  <si>
    <t>CSV Mode에서 기어비가 적용된 명령으로 구동 가능토록 수정</t>
    <phoneticPr fontId="1" type="noConversion"/>
  </si>
  <si>
    <t>관성비 추정 방식 개선</t>
    <phoneticPr fontId="1" type="noConversion"/>
  </si>
  <si>
    <t>RS Ware Oscilloscope Trigger시 Bug개선</t>
    <phoneticPr fontId="1" type="noConversion"/>
  </si>
  <si>
    <t>Position Error Monitoring방식 수정</t>
    <phoneticPr fontId="1" type="noConversion"/>
  </si>
  <si>
    <t>32bit PDO Update방식 수정</t>
    <phoneticPr fontId="1" type="noConversion"/>
  </si>
  <si>
    <t>Programmed Run 동작 개선</t>
    <phoneticPr fontId="1" type="noConversion"/>
  </si>
  <si>
    <t>Ft 0.04(Inertia Ratio) 변경 시 LPF 변경되는 Bug 개선</t>
    <phoneticPr fontId="1" type="noConversion"/>
  </si>
  <si>
    <t>Smart Tuning관련 Hidden Parameter Open
(Sliding Slope, Fine Tuning Gain 등)</t>
    <phoneticPr fontId="1" type="noConversion"/>
  </si>
  <si>
    <t>System Gain Default Value 수정</t>
  </si>
  <si>
    <t>가속도 게인 조정 파라미터 추가</t>
  </si>
  <si>
    <t xml:space="preserve">Full-Closed 사용시 32bit BiSS 적용 </t>
  </si>
  <si>
    <t>시리얼 컨버터 알람 E.39를 세분화 기능</t>
  </si>
  <si>
    <t>Ft 0.04(Inertia Ratio) 변경 시 LPF 변경되는 Bug 개선</t>
  </si>
  <si>
    <t>오프라인 오토튜닝시 관성비추정 로직 개선</t>
  </si>
  <si>
    <t>신규 Parameter, Object 추가</t>
  </si>
  <si>
    <t>Time Reduction &amp; Memory 공간 확보를 위한 최적화 작업</t>
  </si>
  <si>
    <t>신규 추가 기능</t>
    <phoneticPr fontId="1" type="noConversion"/>
  </si>
  <si>
    <t>Number</t>
    <phoneticPr fontId="1" type="noConversion"/>
  </si>
  <si>
    <t>Description</t>
    <phoneticPr fontId="1" type="noConversion"/>
  </si>
  <si>
    <t>Details</t>
    <phoneticPr fontId="1" type="noConversion"/>
  </si>
  <si>
    <t>0x221C, 0x221D</t>
    <phoneticPr fontId="1" type="noConversion"/>
  </si>
  <si>
    <t>개선 수정 기능</t>
    <phoneticPr fontId="1" type="noConversion"/>
  </si>
  <si>
    <t>1회 Buffer가 채워진 후 Trigger가능한 문제 개선</t>
    <phoneticPr fontId="1" type="noConversion"/>
  </si>
  <si>
    <t>기존 방식 : Filtered Data
추가된 방식 : Raw Data or Filtered Data 선택</t>
    <phoneticPr fontId="1" type="noConversion"/>
  </si>
  <si>
    <t>계산 방식의 오류로 Position 값 오차가 누적되는 현상 개선</t>
    <phoneticPr fontId="1" type="noConversion"/>
  </si>
  <si>
    <t>Smart Tuning관련 Hidden Parameter Open(Sliding Slope, Fine Tuning Gain 등)</t>
    <phoneticPr fontId="1" type="noConversion"/>
  </si>
  <si>
    <t>ETC</t>
    <phoneticPr fontId="1" type="noConversion"/>
  </si>
  <si>
    <t>신규 Parameter, Object 추가</t>
    <phoneticPr fontId="1" type="noConversion"/>
  </si>
  <si>
    <t>추가, 개선, 수정 항목 관련</t>
    <phoneticPr fontId="1" type="noConversion"/>
  </si>
  <si>
    <t>Time Reduction &amp; Memory 공간 확보를 위한 최적화 작업</t>
    <phoneticPr fontId="1" type="noConversion"/>
  </si>
  <si>
    <t>논의사항 99.06 code review</t>
    <phoneticPr fontId="1" type="noConversion"/>
  </si>
  <si>
    <t>검토내용</t>
    <phoneticPr fontId="1" type="noConversion"/>
  </si>
  <si>
    <t>검토후 적용여부</t>
    <phoneticPr fontId="1" type="noConversion"/>
  </si>
  <si>
    <t>MDM 4 position feedback 계산 방법</t>
    <phoneticPr fontId="1" type="noConversion"/>
  </si>
  <si>
    <t>Ltmp = Mpos_cmdI - pos_err  (필터거친 위치값-위치에러)
pos_err :제어기에서 나온 에러를 기어비 계산한 값(위치루프내)
           위치루프의 위치값은 preal을 사용함</t>
    <phoneticPr fontId="1" type="noConversion"/>
  </si>
  <si>
    <t>코드반영</t>
    <phoneticPr fontId="1" type="noConversion"/>
  </si>
  <si>
    <t>BodeGathing의 ch1, ch2 신호 할당(Velocity feedback, Currnet command)</t>
    <phoneticPr fontId="1" type="noConversion"/>
  </si>
  <si>
    <t>할당 신호가 OHT와 다르게 가져감</t>
    <phoneticPr fontId="1" type="noConversion"/>
  </si>
  <si>
    <t>적용함</t>
    <phoneticPr fontId="1" type="noConversion"/>
  </si>
  <si>
    <t>UDB, SF1, SF2 명령처리 방안</t>
    <phoneticPr fontId="1" type="noConversion"/>
  </si>
  <si>
    <r>
      <rPr>
        <sz val="11"/>
        <color rgb="FFFF0000"/>
        <rFont val="맑은 고딕"/>
        <family val="3"/>
        <charset val="129"/>
        <scheme val="minor"/>
      </rPr>
      <t xml:space="preserve">세메스 OHT사양 </t>
    </r>
    <r>
      <rPr>
        <sz val="11"/>
        <color theme="1"/>
        <rFont val="맑은 고딕"/>
        <family val="2"/>
        <charset val="129"/>
        <scheme val="minor"/>
      </rPr>
      <t xml:space="preserve">
서보온중에 파라메터 적용되는 것을 막기 위해 알람처리후 진행</t>
    </r>
    <phoneticPr fontId="1" type="noConversion"/>
  </si>
  <si>
    <t>추후 적용함</t>
    <phoneticPr fontId="1" type="noConversion"/>
  </si>
  <si>
    <t>위치명령 주파수 보여주는 단위를 RPM으로 변경(pps-&gt;rpm)
PcmdFreq 단위 계산, pps*0.01 [pps]</t>
    <phoneticPr fontId="1" type="noConversion"/>
  </si>
  <si>
    <r>
      <rPr>
        <sz val="11"/>
        <color rgb="FFFF0000"/>
        <rFont val="맑은 고딕"/>
        <family val="3"/>
        <charset val="129"/>
        <scheme val="minor"/>
      </rPr>
      <t>세메스 OHT사양</t>
    </r>
    <r>
      <rPr>
        <sz val="11"/>
        <color theme="1"/>
        <rFont val="맑은 고딕"/>
        <family val="2"/>
        <charset val="129"/>
        <scheme val="minor"/>
      </rPr>
      <t xml:space="preserve">
소수점 4자리까지 rpm단위로 보이기 위한 수정사항인지 확인 필요</t>
    </r>
    <phoneticPr fontId="1" type="noConversion"/>
  </si>
  <si>
    <t>추후 확인</t>
    <phoneticPr fontId="1" type="noConversion"/>
  </si>
  <si>
    <t>속도피드백을 필터 제거한 raw값으로 보여줌</t>
    <phoneticPr fontId="1" type="noConversion"/>
  </si>
  <si>
    <t>세메스 OHT 수정사항 적용
CSD7 Ser.B는 이미 적용, 야스카와도 필터 제거함.</t>
    <phoneticPr fontId="1" type="noConversion"/>
  </si>
  <si>
    <t>src file</t>
    <phoneticPr fontId="1" type="noConversion"/>
  </si>
  <si>
    <t>CSD7 구성 정보</t>
    <phoneticPr fontId="1" type="noConversion"/>
  </si>
  <si>
    <t>D8_M 구성 정보</t>
    <phoneticPr fontId="1" type="noConversion"/>
  </si>
  <si>
    <t>적용여부</t>
    <phoneticPr fontId="1" type="noConversion"/>
  </si>
  <si>
    <t>검토 결과</t>
    <phoneticPr fontId="1" type="noConversion"/>
  </si>
  <si>
    <t>keywords</t>
    <phoneticPr fontId="1" type="noConversion"/>
  </si>
  <si>
    <t>Action
Owner</t>
    <phoneticPr fontId="1" type="noConversion"/>
  </si>
  <si>
    <t>ETcia402_lms.c</t>
    <phoneticPr fontId="1" type="noConversion"/>
  </si>
  <si>
    <t>비상정지 작동안되는 버그 수정</t>
    <phoneticPr fontId="1" type="noConversion"/>
  </si>
  <si>
    <t>ETcia402appl.c</t>
    <phoneticPr fontId="1" type="noConversion"/>
  </si>
  <si>
    <t>미적용</t>
    <phoneticPr fontId="1" type="noConversion"/>
  </si>
  <si>
    <t>적용</t>
    <phoneticPr fontId="1" type="noConversion"/>
  </si>
  <si>
    <r>
      <t>Status</t>
    </r>
    <r>
      <rPr>
        <b/>
        <sz val="10"/>
        <color theme="1"/>
        <rFont val="맑은 고딕"/>
        <family val="3"/>
        <charset val="129"/>
        <scheme val="minor"/>
      </rPr>
      <t xml:space="preserve">
O = Open
  C = Closed</t>
    </r>
    <phoneticPr fontId="1" type="noConversion"/>
  </si>
  <si>
    <t>시작</t>
    <phoneticPr fontId="1" type="noConversion"/>
  </si>
  <si>
    <t>종료</t>
    <phoneticPr fontId="1" type="noConversion"/>
  </si>
  <si>
    <t>Project 진행 상태</t>
    <phoneticPr fontId="1" type="noConversion"/>
  </si>
  <si>
    <t>No.</t>
  </si>
  <si>
    <t>%</t>
  </si>
  <si>
    <t>* Includes Pass/Fail and planned items</t>
    <phoneticPr fontId="5" type="noConversion"/>
  </si>
  <si>
    <r>
      <t>*Working Hours = Results</t>
    </r>
    <r>
      <rPr>
        <sz val="10"/>
        <rFont val="돋움"/>
        <family val="3"/>
        <charset val="129"/>
      </rPr>
      <t>에</t>
    </r>
    <r>
      <rPr>
        <sz val="10"/>
        <rFont val="MS Sans Serif"/>
        <family val="2"/>
      </rPr>
      <t xml:space="preserve"> </t>
    </r>
    <r>
      <rPr>
        <sz val="10"/>
        <rFont val="돋움"/>
        <family val="3"/>
        <charset val="129"/>
      </rPr>
      <t>관계없이</t>
    </r>
    <r>
      <rPr>
        <sz val="10"/>
        <rFont val="MS Sans Serif"/>
        <family val="2"/>
      </rPr>
      <t xml:space="preserve"> </t>
    </r>
    <r>
      <rPr>
        <sz val="10"/>
        <rFont val="돋움"/>
        <family val="3"/>
        <charset val="129"/>
      </rPr>
      <t>진행중인</t>
    </r>
    <r>
      <rPr>
        <sz val="10"/>
        <rFont val="MS Sans Serif"/>
        <family val="2"/>
      </rPr>
      <t xml:space="preserve"> </t>
    </r>
    <r>
      <rPr>
        <sz val="10"/>
        <rFont val="돋움"/>
        <family val="3"/>
        <charset val="129"/>
      </rPr>
      <t>모든</t>
    </r>
    <r>
      <rPr>
        <sz val="10"/>
        <rFont val="MS Sans Serif"/>
        <family val="2"/>
      </rPr>
      <t xml:space="preserve"> Test </t>
    </r>
    <r>
      <rPr>
        <sz val="10"/>
        <rFont val="돋움"/>
        <family val="3"/>
        <charset val="129"/>
      </rPr>
      <t>시간</t>
    </r>
    <phoneticPr fontId="5" type="noConversion"/>
  </si>
  <si>
    <t>Results Summary(Pass/Fail)</t>
  </si>
  <si>
    <t>Total</t>
  </si>
  <si>
    <t>Test Results</t>
  </si>
  <si>
    <t>Process Update History</t>
  </si>
  <si>
    <t>total(week)</t>
  </si>
  <si>
    <t>WEEK</t>
  </si>
  <si>
    <t>Actual Start</t>
  </si>
  <si>
    <t>Expected
Completed</t>
  </si>
  <si>
    <t>Actual
Completed</t>
  </si>
  <si>
    <t>START</t>
  </si>
  <si>
    <t>통신끊김시 
비상정지</t>
    <phoneticPr fontId="1" type="noConversion"/>
  </si>
  <si>
    <t>신규</t>
    <phoneticPr fontId="1" type="noConversion"/>
  </si>
  <si>
    <t>적용</t>
  </si>
  <si>
    <t>추후 검토</t>
    <phoneticPr fontId="1" type="noConversion"/>
  </si>
  <si>
    <r>
      <t xml:space="preserve">FW </t>
    </r>
    <r>
      <rPr>
        <b/>
        <sz val="20"/>
        <rFont val="Arial Unicode MS"/>
        <family val="2"/>
        <charset val="129"/>
      </rPr>
      <t>변경점</t>
    </r>
    <phoneticPr fontId="5" type="noConversion"/>
  </si>
  <si>
    <t>D8 동시이동 FW 진행 Dashboard</t>
    <phoneticPr fontId="5" type="noConversion"/>
  </si>
  <si>
    <t>#</t>
    <phoneticPr fontId="1" type="noConversion"/>
  </si>
  <si>
    <t>항목</t>
    <phoneticPr fontId="1" type="noConversion"/>
  </si>
  <si>
    <t>일정 (11/1 기준)</t>
    <phoneticPr fontId="1" type="noConversion"/>
  </si>
  <si>
    <t>일정 (11/11 기준)</t>
    <phoneticPr fontId="1" type="noConversion"/>
  </si>
  <si>
    <t>비고</t>
    <phoneticPr fontId="1" type="noConversion"/>
  </si>
  <si>
    <t>Release Note 작성</t>
    <phoneticPr fontId="1" type="noConversion"/>
  </si>
  <si>
    <t>- 파라미터 설명 필요
- RSWare내 파라미터 위치
- 11/5(화)까지</t>
    <phoneticPr fontId="1" type="noConversion"/>
  </si>
  <si>
    <t>- 작성 및 공유 완료</t>
    <phoneticPr fontId="1" type="noConversion"/>
  </si>
  <si>
    <t>Test Plan 작성</t>
    <phoneticPr fontId="1" type="noConversion"/>
  </si>
  <si>
    <t>- Sign Off 완료</t>
    <phoneticPr fontId="1" type="noConversion"/>
  </si>
  <si>
    <t>Test Report 작성</t>
    <phoneticPr fontId="1" type="noConversion"/>
  </si>
  <si>
    <t>- '2. V2.10 시험 항목, 진행 상황' Sheet 참고
- 11/12 완료 예정
- Review 회의는 11/7부터 시작</t>
    <phoneticPr fontId="1" type="noConversion"/>
  </si>
  <si>
    <t>- Qual Review 회의 : 11/11시작</t>
    <phoneticPr fontId="1" type="noConversion"/>
  </si>
  <si>
    <t>기능 사양서 작성</t>
    <phoneticPr fontId="1" type="noConversion"/>
  </si>
  <si>
    <t>- 공유 완료</t>
    <phoneticPr fontId="1" type="noConversion"/>
  </si>
  <si>
    <t>최종 Binary 생성</t>
    <phoneticPr fontId="1" type="noConversion"/>
  </si>
  <si>
    <t>- 11/11일 주 build version 준비</t>
    <phoneticPr fontId="1" type="noConversion"/>
  </si>
  <si>
    <t>검사기 셋업</t>
    <phoneticPr fontId="1" type="noConversion"/>
  </si>
  <si>
    <t>- 11/11일 주 완제품 검사기 진행 예정</t>
    <phoneticPr fontId="1" type="noConversion"/>
  </si>
  <si>
    <t>사업팀 대상 교육</t>
    <phoneticPr fontId="1" type="noConversion"/>
  </si>
  <si>
    <t>- ECN 회의 이후 예정</t>
    <phoneticPr fontId="1" type="noConversion"/>
  </si>
  <si>
    <t>ECN 상신 및 회의</t>
    <phoneticPr fontId="1" type="noConversion"/>
  </si>
  <si>
    <t>- 11/14일 예정 (11/8일 까지 문제 없으면, 한성미 차장에게 내용 전달)</t>
    <phoneticPr fontId="1" type="noConversion"/>
  </si>
  <si>
    <t>- 영업팀 요청으로 ECN 연기</t>
    <phoneticPr fontId="1" type="noConversion"/>
  </si>
  <si>
    <t>Total ALL (lelf 포함)</t>
    <phoneticPr fontId="1" type="noConversion"/>
  </si>
  <si>
    <t>Left (미적용)</t>
  </si>
  <si>
    <t>Left (미적용)</t>
    <phoneticPr fontId="5" type="noConversion"/>
  </si>
  <si>
    <t>Open (적용전)</t>
  </si>
  <si>
    <t>Open (적용전)</t>
    <phoneticPr fontId="5" type="noConversion"/>
  </si>
  <si>
    <t>Closed (완료)</t>
  </si>
  <si>
    <t>Closed (완료)</t>
    <phoneticPr fontId="5" type="noConversion"/>
  </si>
  <si>
    <t>V1.00.99.61</t>
    <phoneticPr fontId="1" type="noConversion"/>
  </si>
  <si>
    <t>V1.00.99.60</t>
    <phoneticPr fontId="1" type="noConversion"/>
  </si>
  <si>
    <r>
      <t>Closed (</t>
    </r>
    <r>
      <rPr>
        <b/>
        <sz val="11"/>
        <rFont val="맑은 고딕"/>
        <family val="3"/>
        <charset val="129"/>
      </rPr>
      <t>완료</t>
    </r>
    <r>
      <rPr>
        <b/>
        <sz val="11"/>
        <rFont val="Arial"/>
        <family val="2"/>
      </rPr>
      <t>)</t>
    </r>
    <phoneticPr fontId="1" type="noConversion"/>
  </si>
  <si>
    <t>* Includes Pass/Fail and planned items</t>
  </si>
  <si>
    <t>Total ALL (lelf 포함)</t>
  </si>
  <si>
    <t>D8 동시이동 FW 진행 Dashboard (1월)</t>
    <phoneticPr fontId="5" type="noConversion"/>
  </si>
  <si>
    <t>전체</t>
    <phoneticPr fontId="1" type="noConversion"/>
  </si>
  <si>
    <t>완료</t>
    <phoneticPr fontId="1" type="noConversion"/>
  </si>
  <si>
    <t>Open</t>
    <phoneticPr fontId="1" type="noConversion"/>
  </si>
  <si>
    <t>Function
(녹색-기존내용 재검증)
(노랑-신규)</t>
    <phoneticPr fontId="1" type="noConversion"/>
  </si>
  <si>
    <t>□ LMMT D7/D8 FW Readme 변경점 추출 내용</t>
    <phoneticPr fontId="1" type="noConversion"/>
  </si>
  <si>
    <t>:동시이동 변경점 FW와 이전 ECN(CSD7 V1.20, D8 V1.00) 버전과의 내용을 비교하여 내용을 작성함.</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</si>
</sst>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_);[Red]\(0\)"/>
  </numFmts>
  <fonts count="31" x14ac:knownFonts="1">
    <font>
      <sz val="11"/>
      <color theme="1"/>
      <name val="맑은 고딕"/>
      <family val="2"/>
      <charset val="129"/>
      <scheme val="minor"/>
    </font>
    <font>
      <sz val="8"/>
      <name val="맑은 고딕"/>
      <family val="2"/>
      <charset val="129"/>
      <scheme val="minor"/>
    </font>
    <font>
      <b/>
      <sz val="14"/>
      <color theme="1"/>
      <name val="맑은 고딕"/>
      <family val="3"/>
      <charset val="129"/>
      <scheme val="minor"/>
    </font>
    <font>
      <sz val="10"/>
      <color theme="1"/>
      <name val="맑은 고딕"/>
      <family val="2"/>
      <charset val="129"/>
      <scheme val="minor"/>
    </font>
    <font>
      <sz val="10"/>
      <color theme="1"/>
      <name val="맑은 고딕"/>
      <family val="3"/>
      <charset val="129"/>
      <scheme val="minor"/>
    </font>
    <font>
      <sz val="8"/>
      <name val="돋움"/>
      <family val="3"/>
      <charset val="129"/>
    </font>
    <font>
      <b/>
      <sz val="10"/>
      <name val="Arial"/>
      <family val="2"/>
    </font>
    <font>
      <sz val="10"/>
      <name val="Arial"/>
      <family val="2"/>
    </font>
    <font>
      <sz val="20"/>
      <color theme="1"/>
      <name val="맑은 고딕"/>
      <family val="2"/>
      <charset val="129"/>
      <scheme val="minor"/>
    </font>
    <font>
      <sz val="11"/>
      <color rgb="FF000000"/>
      <name val="맑은 고딕"/>
      <family val="3"/>
      <charset val="129"/>
      <scheme val="minor"/>
    </font>
    <font>
      <sz val="11"/>
      <color rgb="FFFF0000"/>
      <name val="맑은 고딕"/>
      <family val="3"/>
      <charset val="129"/>
      <scheme val="minor"/>
    </font>
    <font>
      <sz val="20"/>
      <color theme="1"/>
      <name val="맑은 고딕"/>
      <family val="3"/>
      <charset val="129"/>
      <scheme val="minor"/>
    </font>
    <font>
      <b/>
      <sz val="11"/>
      <color theme="1"/>
      <name val="맑은 고딕"/>
      <family val="3"/>
      <charset val="129"/>
      <scheme val="minor"/>
    </font>
    <font>
      <sz val="11"/>
      <color theme="1"/>
      <name val="맑은 고딕"/>
      <family val="3"/>
      <charset val="129"/>
      <scheme val="minor"/>
    </font>
    <font>
      <b/>
      <sz val="10"/>
      <color theme="1"/>
      <name val="맑은 고딕"/>
      <family val="3"/>
      <charset val="129"/>
      <scheme val="minor"/>
    </font>
    <font>
      <sz val="20"/>
      <color indexed="10"/>
      <name val="Arial"/>
      <family val="2"/>
    </font>
    <font>
      <b/>
      <sz val="20"/>
      <name val="Arial"/>
      <family val="2"/>
    </font>
    <font>
      <sz val="20"/>
      <name val="Arial"/>
      <family val="2"/>
    </font>
    <font>
      <b/>
      <sz val="20"/>
      <name val="Arial Unicode MS"/>
      <family val="2"/>
      <charset val="129"/>
    </font>
    <font>
      <b/>
      <sz val="11"/>
      <color theme="0"/>
      <name val="맑은 고딕"/>
      <family val="2"/>
      <charset val="129"/>
      <scheme val="minor"/>
    </font>
    <font>
      <b/>
      <sz val="18"/>
      <color indexed="9"/>
      <name val="맑은 고딕"/>
      <family val="3"/>
      <charset val="129"/>
    </font>
    <font>
      <b/>
      <sz val="14"/>
      <name val="Arial"/>
      <family val="2"/>
    </font>
    <font>
      <b/>
      <sz val="11"/>
      <name val="Arial"/>
      <family val="2"/>
    </font>
    <font>
      <sz val="9"/>
      <name val="MS Sans Serif"/>
      <family val="2"/>
    </font>
    <font>
      <sz val="10"/>
      <name val="돋움"/>
      <family val="3"/>
      <charset val="129"/>
    </font>
    <font>
      <sz val="10"/>
      <name val="MS Sans Serif"/>
      <family val="2"/>
    </font>
    <font>
      <b/>
      <sz val="10"/>
      <name val="MS Sans Serif"/>
      <family val="2"/>
    </font>
    <font>
      <b/>
      <sz val="20"/>
      <color theme="1"/>
      <name val="맑은 고딕"/>
      <family val="3"/>
      <charset val="129"/>
    </font>
    <font>
      <b/>
      <sz val="11"/>
      <color theme="8" tint="0.79998168889431442"/>
      <name val="Arial"/>
      <family val="2"/>
    </font>
    <font>
      <b/>
      <sz val="11"/>
      <name val="맑은 고딕"/>
      <family val="3"/>
      <charset val="129"/>
    </font>
    <font>
      <sz val="14"/>
      <name val="맑은 고딕"/>
      <family val="3"/>
      <charset val="129"/>
      <scheme val="minor"/>
    </font>
  </fonts>
  <fills count="15">
    <fill>
      <patternFill patternType="none"/>
    </fill>
    <fill>
      <patternFill patternType="gray125"/>
    </fill>
    <fill>
      <patternFill patternType="solid">
        <fgColor theme="2" tint="-0.249977111117893"/>
        <bgColor indexed="64"/>
      </patternFill>
    </fill>
    <fill>
      <patternFill patternType="solid">
        <fgColor theme="0"/>
        <bgColor indexed="64"/>
      </patternFill>
    </fill>
    <fill>
      <patternFill patternType="solid">
        <fgColor rgb="FFFFFF00"/>
        <bgColor indexed="64"/>
      </patternFill>
    </fill>
    <fill>
      <patternFill patternType="solid">
        <fgColor rgb="FFBFBFBF"/>
        <bgColor indexed="64"/>
      </patternFill>
    </fill>
    <fill>
      <patternFill patternType="solid">
        <fgColor rgb="FFFFFFFF"/>
        <bgColor indexed="64"/>
      </patternFill>
    </fill>
    <fill>
      <patternFill patternType="solid">
        <fgColor theme="5"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rgb="FFA5A5A5"/>
      </patternFill>
    </fill>
    <fill>
      <patternFill patternType="solid">
        <fgColor indexed="27"/>
        <bgColor indexed="64"/>
      </patternFill>
    </fill>
    <fill>
      <patternFill patternType="solid">
        <fgColor theme="3" tint="0.59999389629810485"/>
        <bgColor indexed="64"/>
      </patternFill>
    </fill>
    <fill>
      <patternFill patternType="solid">
        <fgColor theme="8" tint="0.7999816888943144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double">
        <color rgb="FF3F3F3F"/>
      </left>
      <right style="double">
        <color rgb="FF3F3F3F"/>
      </right>
      <top style="double">
        <color rgb="FF3F3F3F"/>
      </top>
      <bottom style="double">
        <color rgb="FF3F3F3F"/>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right/>
      <top/>
      <bottom style="double">
        <color indexed="64"/>
      </bottom>
      <diagonal/>
    </border>
    <border>
      <left style="double">
        <color rgb="FF3F3F3F"/>
      </left>
      <right/>
      <top/>
      <bottom/>
      <diagonal/>
    </border>
    <border>
      <left style="thin">
        <color auto="1"/>
      </left>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thin">
        <color auto="1"/>
      </left>
      <right/>
      <top style="thin">
        <color auto="1"/>
      </top>
      <bottom style="medium">
        <color indexed="64"/>
      </bottom>
      <diagonal/>
    </border>
  </borders>
  <cellStyleXfs count="2">
    <xf numFmtId="0" fontId="0" fillId="0" borderId="0">
      <alignment vertical="center"/>
    </xf>
    <xf numFmtId="0" fontId="19" fillId="11" borderId="20" applyNumberFormat="0" applyAlignment="0" applyProtection="0">
      <alignment vertical="center"/>
    </xf>
  </cellStyleXfs>
  <cellXfs count="146">
    <xf numFmtId="0" fontId="0" fillId="0" borderId="0" xfId="0">
      <alignment vertical="center"/>
    </xf>
    <xf numFmtId="0" fontId="0" fillId="0" borderId="0" xfId="0" applyProtection="1">
      <alignment vertical="center"/>
      <protection locked="0"/>
    </xf>
    <xf numFmtId="0" fontId="3" fillId="0" borderId="1" xfId="0" applyFont="1" applyBorder="1" applyAlignment="1" applyProtection="1">
      <alignment horizontal="center" vertical="center"/>
      <protection locked="0"/>
    </xf>
    <xf numFmtId="0" fontId="4" fillId="0" borderId="1" xfId="0" quotePrefix="1" applyFont="1" applyBorder="1" applyAlignment="1" applyProtection="1">
      <alignment vertical="center" wrapText="1"/>
      <protection locked="0"/>
    </xf>
    <xf numFmtId="0" fontId="4" fillId="0" borderId="1" xfId="0" quotePrefix="1" applyFont="1" applyBorder="1" applyAlignment="1" applyProtection="1">
      <alignment horizontal="left" vertical="center" wrapText="1"/>
      <protection locked="0"/>
    </xf>
    <xf numFmtId="0" fontId="0" fillId="0" borderId="1" xfId="0" applyBorder="1" applyAlignment="1" applyProtection="1">
      <alignment horizontal="center" vertical="center"/>
      <protection locked="0"/>
    </xf>
    <xf numFmtId="0" fontId="0" fillId="0" borderId="0" xfId="0" applyAlignment="1" applyProtection="1">
      <alignment vertical="center" wrapText="1"/>
      <protection locked="0"/>
    </xf>
    <xf numFmtId="0" fontId="0" fillId="0" borderId="1" xfId="0" applyBorder="1" applyAlignment="1" applyProtection="1">
      <alignment vertical="center" wrapText="1"/>
      <protection locked="0"/>
    </xf>
    <xf numFmtId="0" fontId="3" fillId="2" borderId="4" xfId="0" applyFont="1" applyFill="1" applyBorder="1" applyAlignment="1" applyProtection="1">
      <alignment horizontal="center" vertical="center"/>
      <protection locked="0"/>
    </xf>
    <xf numFmtId="0" fontId="0" fillId="0" borderId="1" xfId="0" applyBorder="1" applyAlignment="1">
      <alignment horizontal="center" vertical="center"/>
    </xf>
    <xf numFmtId="0" fontId="0" fillId="0" borderId="1" xfId="0" applyBorder="1">
      <alignment vertical="center"/>
    </xf>
    <xf numFmtId="0" fontId="8" fillId="4" borderId="0" xfId="0" applyFont="1" applyFill="1">
      <alignment vertical="center"/>
    </xf>
    <xf numFmtId="0" fontId="0" fillId="4" borderId="0" xfId="0" applyFill="1">
      <alignment vertical="center"/>
    </xf>
    <xf numFmtId="0" fontId="9" fillId="5" borderId="11" xfId="0" applyFont="1" applyFill="1" applyBorder="1" applyAlignment="1">
      <alignment horizontal="center" vertical="center"/>
    </xf>
    <xf numFmtId="0" fontId="9" fillId="6" borderId="10" xfId="0" applyFont="1" applyFill="1" applyBorder="1" applyAlignment="1">
      <alignment horizontal="center" vertical="center"/>
    </xf>
    <xf numFmtId="0" fontId="9" fillId="6" borderId="11" xfId="0" applyFont="1" applyFill="1" applyBorder="1">
      <alignment vertical="center"/>
    </xf>
    <xf numFmtId="0" fontId="9" fillId="5" borderId="13" xfId="0" applyFont="1" applyFill="1" applyBorder="1" applyAlignment="1">
      <alignment horizontal="center" vertical="center"/>
    </xf>
    <xf numFmtId="0" fontId="9" fillId="6" borderId="1" xfId="0" applyFont="1" applyFill="1" applyBorder="1" applyAlignment="1">
      <alignment horizontal="center" vertical="center"/>
    </xf>
    <xf numFmtId="0" fontId="0" fillId="0" borderId="1" xfId="0" applyBorder="1" applyAlignment="1">
      <alignment horizontal="left" vertical="center"/>
    </xf>
    <xf numFmtId="0" fontId="9" fillId="6" borderId="1" xfId="0" applyFont="1" applyFill="1" applyBorder="1">
      <alignment vertical="center"/>
    </xf>
    <xf numFmtId="0" fontId="0" fillId="0" borderId="1" xfId="0" applyBorder="1" applyAlignment="1">
      <alignment horizontal="left" vertical="center" wrapText="1"/>
    </xf>
    <xf numFmtId="0" fontId="11" fillId="0" borderId="0" xfId="0" applyFont="1" applyAlignment="1">
      <alignment horizontal="center" vertical="center"/>
    </xf>
    <xf numFmtId="0" fontId="11" fillId="0" borderId="0" xfId="0" applyFont="1">
      <alignment vertical="center"/>
    </xf>
    <xf numFmtId="0" fontId="0" fillId="0" borderId="0" xfId="0"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vertical="center"/>
    </xf>
    <xf numFmtId="0" fontId="0" fillId="0" borderId="4" xfId="0" applyBorder="1" applyAlignment="1">
      <alignment horizontal="left" vertical="center"/>
    </xf>
    <xf numFmtId="0" fontId="0" fillId="0" borderId="3" xfId="0" applyBorder="1" applyAlignment="1">
      <alignment horizontal="center" vertical="center"/>
    </xf>
    <xf numFmtId="0" fontId="0" fillId="9" borderId="15" xfId="0" applyFill="1" applyBorder="1" applyAlignment="1">
      <alignment horizontal="center" vertical="center"/>
    </xf>
    <xf numFmtId="0" fontId="0" fillId="9" borderId="3" xfId="0" applyFill="1" applyBorder="1" applyAlignment="1">
      <alignment horizontal="left" vertical="center"/>
    </xf>
    <xf numFmtId="0" fontId="0" fillId="9" borderId="3" xfId="0" applyFill="1" applyBorder="1" applyAlignment="1">
      <alignment horizontal="center" vertical="center"/>
    </xf>
    <xf numFmtId="0" fontId="0" fillId="9" borderId="16" xfId="0" applyFill="1"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center" wrapText="1"/>
    </xf>
    <xf numFmtId="0" fontId="0" fillId="0" borderId="6" xfId="0" applyBorder="1" applyAlignment="1">
      <alignment horizontal="center" vertical="center"/>
    </xf>
    <xf numFmtId="0" fontId="0" fillId="0" borderId="17" xfId="0"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center" vertical="center"/>
    </xf>
    <xf numFmtId="0" fontId="0" fillId="0" borderId="18" xfId="0" applyBorder="1" applyAlignment="1">
      <alignment horizontal="center" vertical="center"/>
    </xf>
    <xf numFmtId="0" fontId="13" fillId="0" borderId="1" xfId="0" applyFont="1" applyBorder="1" applyAlignment="1">
      <alignment horizontal="center" vertical="center" wrapText="1"/>
    </xf>
    <xf numFmtId="0" fontId="0" fillId="0" borderId="2" xfId="0" applyBorder="1" applyAlignment="1">
      <alignment horizontal="left" vertical="center" wrapText="1"/>
    </xf>
    <xf numFmtId="0" fontId="13" fillId="0" borderId="2" xfId="0" applyFont="1" applyBorder="1" applyAlignment="1">
      <alignment horizontal="center" vertical="center" wrapText="1"/>
    </xf>
    <xf numFmtId="0" fontId="0" fillId="0" borderId="0" xfId="0" applyAlignment="1">
      <alignment horizontal="left" vertical="center"/>
    </xf>
    <xf numFmtId="0" fontId="15" fillId="0" borderId="0" xfId="0" applyFont="1">
      <alignment vertical="center"/>
    </xf>
    <xf numFmtId="0" fontId="8" fillId="0" borderId="0" xfId="0" applyFont="1" applyProtection="1">
      <alignment vertical="center"/>
      <protection locked="0"/>
    </xf>
    <xf numFmtId="0" fontId="8" fillId="0" borderId="0" xfId="0" applyFont="1" applyAlignment="1" applyProtection="1">
      <alignment vertical="center" wrapText="1"/>
      <protection locked="0"/>
    </xf>
    <xf numFmtId="0" fontId="3" fillId="0" borderId="1" xfId="0" applyFont="1" applyBorder="1" applyAlignment="1" applyProtection="1">
      <alignment horizontal="center" vertical="center" wrapText="1"/>
      <protection locked="0"/>
    </xf>
    <xf numFmtId="0" fontId="13" fillId="0" borderId="1" xfId="0" applyFont="1" applyBorder="1" applyAlignment="1" applyProtection="1">
      <alignment horizontal="center" vertical="center"/>
      <protection locked="0"/>
    </xf>
    <xf numFmtId="0" fontId="13" fillId="3" borderId="1" xfId="0" quotePrefix="1" applyFont="1" applyFill="1" applyBorder="1" applyAlignment="1" applyProtection="1">
      <alignment horizontal="left" vertical="center" wrapText="1"/>
      <protection locked="0"/>
    </xf>
    <xf numFmtId="0" fontId="13" fillId="3" borderId="1" xfId="0" applyFont="1" applyFill="1" applyBorder="1" applyAlignment="1" applyProtection="1">
      <alignment horizontal="center" vertical="center"/>
      <protection locked="0"/>
    </xf>
    <xf numFmtId="0" fontId="13" fillId="0" borderId="1" xfId="0" quotePrefix="1" applyFont="1" applyBorder="1" applyAlignment="1" applyProtection="1">
      <alignment horizontal="left" vertical="center" wrapText="1"/>
      <protection locked="0"/>
    </xf>
    <xf numFmtId="0" fontId="13" fillId="3" borderId="1" xfId="0" applyFont="1" applyFill="1" applyBorder="1" applyAlignment="1" applyProtection="1">
      <alignment horizontal="left" vertical="center" wrapText="1"/>
      <protection locked="0"/>
    </xf>
    <xf numFmtId="0" fontId="16" fillId="0" borderId="0" xfId="0" applyFont="1" applyAlignment="1">
      <alignment horizontal="left" vertical="center" wrapText="1"/>
    </xf>
    <xf numFmtId="0" fontId="13" fillId="0" borderId="1" xfId="0" applyFont="1" applyBorder="1" applyAlignment="1" applyProtection="1">
      <alignment horizontal="left" vertical="center" wrapText="1"/>
      <protection locked="0"/>
    </xf>
    <xf numFmtId="0" fontId="0" fillId="0" borderId="0" xfId="0" applyAlignment="1" applyProtection="1">
      <alignment horizontal="left" vertical="center" wrapText="1"/>
      <protection locked="0"/>
    </xf>
    <xf numFmtId="0" fontId="0" fillId="0" borderId="0" xfId="0" applyAlignment="1" applyProtection="1">
      <alignment horizontal="center" vertical="center"/>
      <protection locked="0"/>
    </xf>
    <xf numFmtId="0" fontId="8" fillId="0" borderId="0" xfId="0" applyFont="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3" fillId="4" borderId="1" xfId="0" applyFont="1" applyFill="1" applyBorder="1" applyAlignment="1" applyProtection="1">
      <alignment horizontal="left" vertical="center" wrapText="1"/>
      <protection locked="0"/>
    </xf>
    <xf numFmtId="0" fontId="0" fillId="0" borderId="0" xfId="0" applyAlignment="1"/>
    <xf numFmtId="0" fontId="21" fillId="0" borderId="22" xfId="0" quotePrefix="1" applyFont="1" applyBorder="1" applyAlignment="1">
      <alignment horizontal="left"/>
    </xf>
    <xf numFmtId="0" fontId="6" fillId="0" borderId="23" xfId="0" applyFont="1" applyBorder="1" applyAlignment="1">
      <alignment horizontal="center"/>
    </xf>
    <xf numFmtId="9" fontId="22" fillId="12" borderId="25" xfId="0" applyNumberFormat="1" applyFont="1" applyFill="1" applyBorder="1" applyAlignment="1">
      <alignment horizontal="left"/>
    </xf>
    <xf numFmtId="1" fontId="22" fillId="12" borderId="26" xfId="0" applyNumberFormat="1" applyFont="1" applyFill="1" applyBorder="1" applyAlignment="1">
      <alignment horizontal="center"/>
    </xf>
    <xf numFmtId="9" fontId="22" fillId="12" borderId="28" xfId="0" applyNumberFormat="1" applyFont="1" applyFill="1" applyBorder="1" applyAlignment="1">
      <alignment horizontal="left"/>
    </xf>
    <xf numFmtId="1" fontId="22" fillId="12" borderId="1" xfId="0" applyNumberFormat="1" applyFont="1" applyFill="1" applyBorder="1" applyAlignment="1">
      <alignment horizontal="center"/>
    </xf>
    <xf numFmtId="0" fontId="22" fillId="12" borderId="28" xfId="0" applyFont="1" applyFill="1" applyBorder="1" applyAlignment="1"/>
    <xf numFmtId="1" fontId="22" fillId="12" borderId="4" xfId="0" applyNumberFormat="1" applyFont="1" applyFill="1" applyBorder="1" applyAlignment="1">
      <alignment horizontal="center"/>
    </xf>
    <xf numFmtId="0" fontId="22" fillId="12" borderId="30" xfId="0" applyFont="1" applyFill="1" applyBorder="1" applyAlignment="1"/>
    <xf numFmtId="1" fontId="22" fillId="12" borderId="14" xfId="0" applyNumberFormat="1" applyFont="1" applyFill="1" applyBorder="1" applyAlignment="1">
      <alignment horizontal="center"/>
    </xf>
    <xf numFmtId="0" fontId="23" fillId="0" borderId="0" xfId="0" quotePrefix="1" applyFont="1" applyAlignment="1">
      <alignment horizontal="left"/>
    </xf>
    <xf numFmtId="0" fontId="26" fillId="0" borderId="0" xfId="0" applyFont="1" applyAlignment="1"/>
    <xf numFmtId="14" fontId="0" fillId="0" borderId="0" xfId="0" applyNumberFormat="1" applyAlignment="1"/>
    <xf numFmtId="177" fontId="0" fillId="0" borderId="0" xfId="0" applyNumberFormat="1" applyAlignment="1"/>
    <xf numFmtId="0" fontId="24" fillId="0" borderId="0" xfId="0" applyFont="1" applyAlignment="1"/>
    <xf numFmtId="0" fontId="0" fillId="10" borderId="32" xfId="0" applyFill="1" applyBorder="1" applyAlignment="1">
      <alignment horizontal="center"/>
    </xf>
    <xf numFmtId="14" fontId="0" fillId="10" borderId="32" xfId="0" applyNumberFormat="1" applyFill="1" applyBorder="1" applyAlignment="1">
      <alignment horizontal="center" wrapText="1"/>
    </xf>
    <xf numFmtId="0" fontId="0" fillId="0" borderId="0" xfId="0" applyBorder="1" applyAlignment="1">
      <alignment horizontal="center"/>
    </xf>
    <xf numFmtId="14" fontId="0" fillId="0" borderId="0" xfId="0" applyNumberFormat="1" applyBorder="1" applyAlignment="1"/>
    <xf numFmtId="9" fontId="0" fillId="0" borderId="0" xfId="0" applyNumberFormat="1" applyBorder="1" applyAlignment="1">
      <alignment horizontal="right" wrapText="1"/>
    </xf>
    <xf numFmtId="0" fontId="0" fillId="0" borderId="0" xfId="0" applyBorder="1" applyAlignment="1"/>
    <xf numFmtId="177" fontId="0" fillId="0" borderId="0" xfId="0" applyNumberFormat="1" applyBorder="1" applyAlignment="1"/>
    <xf numFmtId="177" fontId="0" fillId="0" borderId="0" xfId="0" applyNumberFormat="1" applyBorder="1" applyAlignment="1">
      <alignment horizontal="right"/>
    </xf>
    <xf numFmtId="0" fontId="0" fillId="0" borderId="33" xfId="0" applyBorder="1" applyAlignment="1"/>
    <xf numFmtId="14" fontId="0" fillId="0" borderId="33" xfId="0" applyNumberFormat="1" applyBorder="1" applyAlignment="1"/>
    <xf numFmtId="177" fontId="0" fillId="0" borderId="33" xfId="0" applyNumberFormat="1" applyBorder="1" applyAlignment="1"/>
    <xf numFmtId="0" fontId="17" fillId="0" borderId="0" xfId="0" applyFont="1" applyAlignment="1">
      <alignment horizontal="center" vertical="center"/>
    </xf>
    <xf numFmtId="0" fontId="3" fillId="0" borderId="3" xfId="0" applyFont="1" applyBorder="1" applyAlignment="1" applyProtection="1">
      <alignment horizontal="center" vertical="center"/>
      <protection locked="0"/>
    </xf>
    <xf numFmtId="0" fontId="2" fillId="13" borderId="1" xfId="0" applyFont="1" applyFill="1" applyBorder="1" applyAlignment="1" applyProtection="1">
      <alignment horizontal="center" vertical="center"/>
      <protection locked="0"/>
    </xf>
    <xf numFmtId="0" fontId="2" fillId="13" borderId="1" xfId="0" applyFont="1" applyFill="1" applyBorder="1" applyAlignment="1" applyProtection="1">
      <alignment horizontal="left" vertical="center" wrapText="1"/>
      <protection locked="0"/>
    </xf>
    <xf numFmtId="0" fontId="2" fillId="13" borderId="1" xfId="0" applyFont="1" applyFill="1" applyBorder="1" applyAlignment="1" applyProtection="1">
      <alignment horizontal="center" vertical="center" wrapText="1"/>
      <protection locked="0"/>
    </xf>
    <xf numFmtId="0" fontId="0" fillId="0" borderId="25" xfId="0" applyBorder="1">
      <alignment vertical="center"/>
    </xf>
    <xf numFmtId="0" fontId="0" fillId="0" borderId="26" xfId="0" applyBorder="1">
      <alignment vertical="center"/>
    </xf>
    <xf numFmtId="0" fontId="0" fillId="0" borderId="35" xfId="0" applyBorder="1">
      <alignment vertical="center"/>
    </xf>
    <xf numFmtId="0" fontId="0" fillId="0" borderId="27" xfId="0" applyBorder="1">
      <alignment vertical="center"/>
    </xf>
    <xf numFmtId="0" fontId="0" fillId="0" borderId="28" xfId="0" applyBorder="1">
      <alignment vertical="center"/>
    </xf>
    <xf numFmtId="0" fontId="0" fillId="0" borderId="5" xfId="0" quotePrefix="1" applyBorder="1" applyAlignment="1">
      <alignment vertical="center" wrapText="1"/>
    </xf>
    <xf numFmtId="0" fontId="0" fillId="0" borderId="29" xfId="0" quotePrefix="1" applyBorder="1" applyAlignment="1">
      <alignment vertical="center" wrapText="1"/>
    </xf>
    <xf numFmtId="178" fontId="0" fillId="0" borderId="5" xfId="0" quotePrefix="1" applyNumberFormat="1" applyBorder="1" applyAlignment="1">
      <alignment vertical="center" wrapText="1"/>
    </xf>
    <xf numFmtId="0" fontId="0" fillId="0" borderId="29" xfId="0" quotePrefix="1" applyBorder="1" applyAlignment="1">
      <alignment horizontal="left" vertical="center" wrapText="1"/>
    </xf>
    <xf numFmtId="0" fontId="0" fillId="0" borderId="29" xfId="0" applyBorder="1">
      <alignment vertical="center"/>
    </xf>
    <xf numFmtId="0" fontId="0" fillId="0" borderId="5" xfId="0" quotePrefix="1" applyBorder="1">
      <alignment vertical="center"/>
    </xf>
    <xf numFmtId="0" fontId="0" fillId="0" borderId="36" xfId="0" applyBorder="1">
      <alignment vertical="center"/>
    </xf>
    <xf numFmtId="0" fontId="0" fillId="0" borderId="3" xfId="0" applyBorder="1">
      <alignment vertical="center"/>
    </xf>
    <xf numFmtId="0" fontId="0" fillId="0" borderId="15" xfId="0" quotePrefix="1" applyBorder="1" applyAlignment="1">
      <alignment vertical="center" wrapText="1"/>
    </xf>
    <xf numFmtId="0" fontId="0" fillId="0" borderId="37" xfId="0" applyBorder="1">
      <alignment vertical="center"/>
    </xf>
    <xf numFmtId="0" fontId="0" fillId="0" borderId="30" xfId="0" applyBorder="1">
      <alignment vertical="center"/>
    </xf>
    <xf numFmtId="0" fontId="0" fillId="0" borderId="14" xfId="0" applyBorder="1">
      <alignment vertical="center"/>
    </xf>
    <xf numFmtId="0" fontId="0" fillId="0" borderId="14" xfId="0" quotePrefix="1" applyBorder="1" applyAlignment="1">
      <alignment vertical="center" wrapText="1"/>
    </xf>
    <xf numFmtId="0" fontId="0" fillId="0" borderId="38" xfId="0" quotePrefix="1" applyBorder="1" applyAlignment="1">
      <alignment vertical="center" wrapText="1"/>
    </xf>
    <xf numFmtId="0" fontId="0" fillId="0" borderId="31" xfId="0" applyBorder="1">
      <alignment vertical="center"/>
    </xf>
    <xf numFmtId="0" fontId="27" fillId="14" borderId="0" xfId="0" applyFont="1" applyFill="1">
      <alignment vertical="center"/>
    </xf>
    <xf numFmtId="0" fontId="6" fillId="14" borderId="0" xfId="0" applyFont="1" applyFill="1" applyAlignment="1">
      <alignment horizontal="left" vertical="center" wrapText="1"/>
    </xf>
    <xf numFmtId="0" fontId="7" fillId="14" borderId="0" xfId="0" applyFont="1" applyFill="1" applyAlignment="1">
      <alignment horizontal="center" vertical="center"/>
    </xf>
    <xf numFmtId="0" fontId="0" fillId="14" borderId="0" xfId="0" applyFill="1" applyProtection="1">
      <alignment vertical="center"/>
      <protection locked="0"/>
    </xf>
    <xf numFmtId="1" fontId="0" fillId="0" borderId="0" xfId="0" applyNumberFormat="1" applyAlignment="1">
      <alignment horizontal="center"/>
    </xf>
    <xf numFmtId="9" fontId="0" fillId="0" borderId="21" xfId="0" applyNumberFormat="1" applyBorder="1" applyAlignment="1"/>
    <xf numFmtId="9" fontId="6" fillId="0" borderId="24" xfId="0" applyNumberFormat="1" applyFont="1" applyBorder="1" applyAlignment="1">
      <alignment horizontal="center"/>
    </xf>
    <xf numFmtId="9" fontId="22" fillId="12" borderId="27" xfId="0" applyNumberFormat="1" applyFont="1" applyFill="1" applyBorder="1" applyAlignment="1">
      <alignment horizontal="center"/>
    </xf>
    <xf numFmtId="9" fontId="22" fillId="12" borderId="29" xfId="0" applyNumberFormat="1" applyFont="1" applyFill="1" applyBorder="1" applyAlignment="1">
      <alignment horizontal="center"/>
    </xf>
    <xf numFmtId="9" fontId="28" fillId="12" borderId="29" xfId="0" applyNumberFormat="1" applyFont="1" applyFill="1" applyBorder="1" applyAlignment="1">
      <alignment horizontal="center"/>
    </xf>
    <xf numFmtId="9" fontId="22" fillId="12" borderId="31" xfId="0" applyNumberFormat="1" applyFont="1" applyFill="1" applyBorder="1" applyAlignment="1">
      <alignment horizontal="center"/>
    </xf>
    <xf numFmtId="9" fontId="0" fillId="0" borderId="0" xfId="0" applyNumberFormat="1" applyAlignment="1"/>
    <xf numFmtId="9" fontId="0" fillId="0" borderId="0" xfId="0" applyNumberFormat="1">
      <alignment vertical="center"/>
    </xf>
    <xf numFmtId="177" fontId="0" fillId="0" borderId="21" xfId="0" applyNumberFormat="1" applyBorder="1" applyAlignment="1"/>
    <xf numFmtId="177" fontId="6" fillId="0" borderId="24" xfId="0" applyNumberFormat="1" applyFont="1" applyBorder="1" applyAlignment="1">
      <alignment horizontal="center"/>
    </xf>
    <xf numFmtId="177" fontId="22" fillId="12" borderId="27" xfId="0" applyNumberFormat="1" applyFont="1" applyFill="1" applyBorder="1" applyAlignment="1">
      <alignment horizontal="center"/>
    </xf>
    <xf numFmtId="177" fontId="22" fillId="12" borderId="29" xfId="0" applyNumberFormat="1" applyFont="1" applyFill="1" applyBorder="1" applyAlignment="1">
      <alignment horizontal="center"/>
    </xf>
    <xf numFmtId="177" fontId="28" fillId="12" borderId="29" xfId="0" applyNumberFormat="1" applyFont="1" applyFill="1" applyBorder="1" applyAlignment="1">
      <alignment horizontal="center"/>
    </xf>
    <xf numFmtId="177" fontId="22" fillId="12" borderId="31" xfId="0" applyNumberFormat="1" applyFont="1" applyFill="1" applyBorder="1" applyAlignment="1">
      <alignment horizontal="center"/>
    </xf>
    <xf numFmtId="177" fontId="0" fillId="10" borderId="32" xfId="0" applyNumberFormat="1" applyFill="1" applyBorder="1" applyAlignment="1">
      <alignment horizontal="center" wrapText="1"/>
    </xf>
    <xf numFmtId="177" fontId="0" fillId="0" borderId="0" xfId="0" applyNumberFormat="1" applyBorder="1" applyAlignment="1">
      <alignment horizontal="right" wrapText="1"/>
    </xf>
    <xf numFmtId="0" fontId="4" fillId="8" borderId="1" xfId="0" applyFont="1" applyFill="1" applyBorder="1" applyAlignment="1" applyProtection="1">
      <alignment horizontal="center" vertical="center"/>
      <protection locked="0"/>
    </xf>
    <xf numFmtId="0" fontId="20" fillId="11" borderId="34" xfId="1" applyFont="1" applyBorder="1" applyAlignment="1">
      <alignment horizontal="left"/>
    </xf>
    <xf numFmtId="0" fontId="20" fillId="11" borderId="0" xfId="1" applyFont="1" applyBorder="1" applyAlignment="1">
      <alignment horizontal="left"/>
    </xf>
    <xf numFmtId="0" fontId="9" fillId="5" borderId="7"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8" xfId="0" applyFont="1" applyFill="1" applyBorder="1" applyAlignment="1">
      <alignment horizontal="center" vertical="center"/>
    </xf>
    <xf numFmtId="0" fontId="9" fillId="5" borderId="9" xfId="0" applyFont="1" applyFill="1" applyBorder="1" applyAlignment="1">
      <alignment horizontal="center" vertical="center"/>
    </xf>
    <xf numFmtId="0" fontId="9" fillId="5" borderId="7" xfId="0" applyFont="1" applyFill="1" applyBorder="1" applyAlignment="1">
      <alignment horizontal="center" vertical="center" wrapText="1"/>
    </xf>
    <xf numFmtId="0" fontId="9" fillId="5" borderId="12" xfId="0" applyFont="1" applyFill="1" applyBorder="1" applyAlignment="1">
      <alignment horizontal="center" vertical="center" wrapText="1"/>
    </xf>
    <xf numFmtId="0" fontId="9" fillId="5" borderId="10" xfId="0" applyFont="1" applyFill="1" applyBorder="1" applyAlignment="1">
      <alignment horizontal="center" vertical="center" wrapText="1"/>
    </xf>
    <xf numFmtId="0" fontId="9" fillId="5" borderId="10" xfId="0" applyFont="1" applyFill="1" applyBorder="1" applyAlignment="1">
      <alignment horizontal="center" vertical="center"/>
    </xf>
    <xf numFmtId="0" fontId="11" fillId="7" borderId="0" xfId="0" applyFont="1" applyFill="1" applyAlignment="1">
      <alignment horizontal="center" vertical="center"/>
    </xf>
    <xf numFmtId="0" fontId="12" fillId="8" borderId="0" xfId="0" applyFont="1" applyFill="1" applyAlignment="1">
      <alignment horizontal="center" vertical="center"/>
    </xf>
    <xf numFmtId="0" fontId="30" fillId="0" borderId="19" xfId="0" applyFont="1" applyBorder="1" applyAlignment="1" applyProtection="1">
      <alignment horizontal="left" vertical="center" wrapText="1"/>
      <protection locked="0"/>
    </xf>
  </cellXfs>
  <cellStyles count="2">
    <cellStyle name="셀 확인" xfId="1" builtinId="23"/>
    <cellStyle name="표준" xfId="0" builtinId="0"/>
  </cellStyles>
  <dxfs count="6">
    <dxf>
      <fill>
        <patternFill>
          <bgColor theme="8" tint="0.79998168889431442"/>
        </patternFill>
      </fill>
    </dxf>
    <dxf>
      <fill>
        <patternFill>
          <bgColor rgb="FF00B050"/>
        </patternFill>
      </fill>
    </dxf>
    <dxf>
      <fill>
        <patternFill>
          <bgColor rgb="FFFFFF00"/>
        </patternFill>
      </fill>
    </dxf>
    <dxf>
      <fill>
        <patternFill>
          <bgColor theme="0" tint="-0.14996795556505021"/>
        </patternFill>
      </fill>
    </dxf>
    <dxf>
      <font>
        <strike val="0"/>
      </font>
      <fill>
        <patternFill>
          <bgColor rgb="FF00B050"/>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돋움"/>
                <a:ea typeface="돋움"/>
                <a:cs typeface="돋움"/>
              </a:defRPr>
            </a:pPr>
            <a:r>
              <a:rPr lang="en-US" altLang="ko-KR"/>
              <a:t>Regression Progress Status</a:t>
            </a:r>
          </a:p>
        </c:rich>
      </c:tx>
      <c:layout>
        <c:manualLayout>
          <c:xMode val="edge"/>
          <c:yMode val="edge"/>
          <c:x val="0.25154938402969901"/>
          <c:y val="1.1862396204033216E-4"/>
        </c:manualLayout>
      </c:layout>
      <c:overlay val="0"/>
      <c:spPr>
        <a:noFill/>
        <a:ln w="25400">
          <a:noFill/>
        </a:ln>
      </c:spPr>
    </c:title>
    <c:autoTitleDeleted val="0"/>
    <c:plotArea>
      <c:layout>
        <c:manualLayout>
          <c:layoutTarget val="inner"/>
          <c:xMode val="edge"/>
          <c:yMode val="edge"/>
          <c:x val="0.14634155055589662"/>
          <c:y val="0.1212124799138255"/>
          <c:w val="0.74146379873247548"/>
          <c:h val="0.47272867166391946"/>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Ref>
              <c:f>[1]SUMMARY!$C$40:$C$45</c:f>
              <c:numCache>
                <c:formatCode>General</c:formatCode>
                <c:ptCount val="6"/>
                <c:pt idx="0">
                  <c:v>0</c:v>
                </c:pt>
                <c:pt idx="1">
                  <c:v>0.33333333333333331</c:v>
                </c:pt>
                <c:pt idx="2">
                  <c:v>0.66666666666666663</c:v>
                </c:pt>
                <c:pt idx="3">
                  <c:v>1</c:v>
                </c:pt>
              </c:numCache>
            </c:numRef>
          </c:val>
          <c:smooth val="0"/>
          <c:extLst>
            <c:ext xmlns:c16="http://schemas.microsoft.com/office/drawing/2014/chart" uri="{C3380CC4-5D6E-409C-BE32-E72D297353CC}">
              <c16:uniqueId val="{00000000-1ED1-4BD6-9258-760C17E5AFE1}"/>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val>
            <c:numRef>
              <c:f>[1]SUMMARY!$D$40:$D$45</c:f>
              <c:numCache>
                <c:formatCode>General</c:formatCode>
                <c:ptCount val="6"/>
                <c:pt idx="0">
                  <c:v>0</c:v>
                </c:pt>
                <c:pt idx="1">
                  <c:v>0.53</c:v>
                </c:pt>
                <c:pt idx="2">
                  <c:v>0.96</c:v>
                </c:pt>
                <c:pt idx="3">
                  <c:v>1</c:v>
                </c:pt>
              </c:numCache>
            </c:numRef>
          </c:val>
          <c:smooth val="0"/>
          <c:extLst>
            <c:ext xmlns:c16="http://schemas.microsoft.com/office/drawing/2014/chart" uri="{C3380CC4-5D6E-409C-BE32-E72D297353CC}">
              <c16:uniqueId val="{00000001-1ED1-4BD6-9258-760C17E5AFE1}"/>
            </c:ext>
          </c:extLst>
        </c:ser>
        <c:dLbls>
          <c:showLegendKey val="0"/>
          <c:showVal val="0"/>
          <c:showCatName val="0"/>
          <c:showSerName val="0"/>
          <c:showPercent val="0"/>
          <c:showBubbleSize val="0"/>
        </c:dLbls>
        <c:marker val="1"/>
        <c:smooth val="0"/>
        <c:axId val="1347043615"/>
        <c:axId val="1"/>
      </c:lineChart>
      <c:catAx>
        <c:axId val="1347043615"/>
        <c:scaling>
          <c:orientation val="minMax"/>
        </c:scaling>
        <c:delete val="0"/>
        <c:axPos val="b"/>
        <c:majorGridlines/>
        <c:title>
          <c:tx>
            <c:rich>
              <a:bodyPr/>
              <a:lstStyle/>
              <a:p>
                <a:pPr>
                  <a:defRPr sz="1475" b="0" i="0" u="none" strike="noStrike" baseline="0">
                    <a:solidFill>
                      <a:srgbClr val="000000"/>
                    </a:solidFill>
                    <a:latin typeface="돋움"/>
                    <a:ea typeface="돋움"/>
                    <a:cs typeface="돋움"/>
                  </a:defRPr>
                </a:pPr>
                <a:r>
                  <a:rPr lang="en-US" altLang="ko-KR"/>
                  <a:t>Week</a:t>
                </a:r>
              </a:p>
            </c:rich>
          </c:tx>
          <c:layout>
            <c:manualLayout>
              <c:xMode val="edge"/>
              <c:yMode val="edge"/>
              <c:x val="5.8536568064127117E-2"/>
              <c:y val="0.83636618376439609"/>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5400000" vert="horz"/>
          <a:lstStyle/>
          <a:p>
            <a:pPr>
              <a:defRPr sz="1475" b="0" i="0" u="none" strike="noStrike" baseline="0">
                <a:solidFill>
                  <a:srgbClr val="000000"/>
                </a:solidFill>
                <a:latin typeface="돋움"/>
                <a:ea typeface="돋움"/>
                <a:cs typeface="돋움"/>
              </a:defRPr>
            </a:pPr>
            <a:endParaRPr lang="ko-KR"/>
          </a:p>
        </c:txPr>
        <c:crossAx val="1"/>
        <c:crosses val="autoZero"/>
        <c:auto val="0"/>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title>
          <c:tx>
            <c:rich>
              <a:bodyPr/>
              <a:lstStyle/>
              <a:p>
                <a:pPr>
                  <a:defRPr sz="1475" b="0" i="0" u="none" strike="noStrike" baseline="0">
                    <a:solidFill>
                      <a:srgbClr val="000000"/>
                    </a:solidFill>
                    <a:latin typeface="돋움"/>
                    <a:ea typeface="돋움"/>
                    <a:cs typeface="돋움"/>
                  </a:defRPr>
                </a:pPr>
                <a:r>
                  <a:rPr lang="en-US" altLang="ko-KR"/>
                  <a:t>Targeted Rate</a:t>
                </a:r>
              </a:p>
            </c:rich>
          </c:tx>
          <c:layout>
            <c:manualLayout>
              <c:xMode val="edge"/>
              <c:yMode val="edge"/>
              <c:x val="2.3170769194391243E-2"/>
              <c:y val="0.15757596136781837"/>
            </c:manualLayout>
          </c:layout>
          <c:overlay val="0"/>
          <c:spPr>
            <a:noFill/>
            <a:ln w="25400">
              <a:noFill/>
            </a:ln>
          </c:spPr>
        </c:title>
        <c:numFmt formatCode="0%" sourceLinked="0"/>
        <c:majorTickMark val="in"/>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돋움"/>
                <a:ea typeface="돋움"/>
                <a:cs typeface="돋움"/>
              </a:defRPr>
            </a:pPr>
            <a:endParaRPr lang="ko-KR"/>
          </a:p>
        </c:txPr>
        <c:crossAx val="1347043615"/>
        <c:crosses val="autoZero"/>
        <c:crossBetween val="between"/>
      </c:valAx>
      <c:spPr>
        <a:solidFill>
          <a:srgbClr val="C0C0C0"/>
        </a:solidFill>
        <a:ln w="12700">
          <a:solidFill>
            <a:srgbClr val="808080"/>
          </a:solidFill>
          <a:prstDash val="solid"/>
        </a:ln>
      </c:spPr>
    </c:plotArea>
    <c:legend>
      <c:legendPos val="r"/>
      <c:layout>
        <c:manualLayout>
          <c:xMode val="edge"/>
          <c:yMode val="edge"/>
          <c:wMode val="edge"/>
          <c:hMode val="edge"/>
          <c:x val="0.8914639048497317"/>
          <c:y val="0.37878910154024342"/>
          <c:w val="0.98644770755006983"/>
          <c:h val="0.46361009144319593"/>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돋움"/>
              <a:ea typeface="돋움"/>
              <a:cs typeface="돋움"/>
            </a:defRPr>
          </a:pPr>
          <a:endParaRPr lang="ko-KR"/>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돋움"/>
          <a:ea typeface="돋움"/>
          <a:cs typeface="돋움"/>
        </a:defRPr>
      </a:pPr>
      <a:endParaRPr lang="ko-KR"/>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18397626112759E-2"/>
          <c:y val="3.2036613272311214E-2"/>
          <c:w val="0.75222551928783388"/>
          <c:h val="0.7986270022883295"/>
        </c:manualLayout>
      </c:layout>
      <c:lineChart>
        <c:grouping val="standard"/>
        <c:varyColors val="0"/>
        <c:ser>
          <c:idx val="0"/>
          <c:order val="0"/>
          <c:tx>
            <c:strRef>
              <c:f>Summary!$C$24</c:f>
              <c:strCache>
                <c:ptCount val="1"/>
                <c:pt idx="0">
                  <c:v>Expected
Completed</c:v>
                </c:pt>
              </c:strCache>
            </c:strRef>
          </c:tx>
          <c:marker>
            <c:spPr>
              <a:solidFill>
                <a:srgbClr val="FF0000"/>
              </a:solidFill>
            </c:spPr>
          </c:marker>
          <c:cat>
            <c:numRef>
              <c:f>Summary!$B$25:$B$35</c:f>
              <c:numCache>
                <c:formatCode>m/d/yyyy</c:formatCode>
                <c:ptCount val="11"/>
                <c:pt idx="0">
                  <c:v>45638</c:v>
                </c:pt>
                <c:pt idx="1">
                  <c:v>45645</c:v>
                </c:pt>
                <c:pt idx="2">
                  <c:v>45652</c:v>
                </c:pt>
                <c:pt idx="3">
                  <c:v>45659</c:v>
                </c:pt>
                <c:pt idx="4">
                  <c:v>45666</c:v>
                </c:pt>
                <c:pt idx="5">
                  <c:v>45673</c:v>
                </c:pt>
                <c:pt idx="6">
                  <c:v>45680</c:v>
                </c:pt>
                <c:pt idx="7">
                  <c:v>45687</c:v>
                </c:pt>
                <c:pt idx="8">
                  <c:v>45694</c:v>
                </c:pt>
                <c:pt idx="9">
                  <c:v>45701</c:v>
                </c:pt>
                <c:pt idx="10">
                  <c:v>45708</c:v>
                </c:pt>
              </c:numCache>
            </c:numRef>
          </c:cat>
          <c:val>
            <c:numRef>
              <c:f>Summary!$C$25:$C$35</c:f>
              <c:numCache>
                <c:formatCode>0.0%</c:formatCode>
                <c:ptCount val="11"/>
                <c:pt idx="0" formatCode="0%">
                  <c:v>0</c:v>
                </c:pt>
                <c:pt idx="1">
                  <c:v>9.0909090909090912E-2</c:v>
                </c:pt>
                <c:pt idx="2">
                  <c:v>0.18181818181818182</c:v>
                </c:pt>
                <c:pt idx="3">
                  <c:v>0.27272727272727271</c:v>
                </c:pt>
                <c:pt idx="4">
                  <c:v>0.36363636363636365</c:v>
                </c:pt>
                <c:pt idx="5">
                  <c:v>0.45454545454545459</c:v>
                </c:pt>
                <c:pt idx="6">
                  <c:v>0.54545454545454541</c:v>
                </c:pt>
                <c:pt idx="7">
                  <c:v>0.63636363636363635</c:v>
                </c:pt>
                <c:pt idx="8">
                  <c:v>0.72727272727272729</c:v>
                </c:pt>
                <c:pt idx="9">
                  <c:v>0.81818181818181823</c:v>
                </c:pt>
                <c:pt idx="10">
                  <c:v>0.90909090909090917</c:v>
                </c:pt>
              </c:numCache>
            </c:numRef>
          </c:val>
          <c:smooth val="1"/>
          <c:extLst>
            <c:ext xmlns:c16="http://schemas.microsoft.com/office/drawing/2014/chart" uri="{C3380CC4-5D6E-409C-BE32-E72D297353CC}">
              <c16:uniqueId val="{00000000-94BD-48B8-8426-45B9D20FE1F3}"/>
            </c:ext>
          </c:extLst>
        </c:ser>
        <c:ser>
          <c:idx val="1"/>
          <c:order val="1"/>
          <c:tx>
            <c:strRef>
              <c:f>Summary!$D$24</c:f>
              <c:strCache>
                <c:ptCount val="1"/>
                <c:pt idx="0">
                  <c:v>Actual
Completed</c:v>
                </c:pt>
              </c:strCache>
            </c:strRef>
          </c:tx>
          <c:marker>
            <c:spPr>
              <a:solidFill>
                <a:schemeClr val="tx1"/>
              </a:solidFill>
            </c:spPr>
          </c:marker>
          <c:cat>
            <c:numRef>
              <c:f>Summary!$B$25:$B$35</c:f>
              <c:numCache>
                <c:formatCode>m/d/yyyy</c:formatCode>
                <c:ptCount val="11"/>
                <c:pt idx="0">
                  <c:v>45638</c:v>
                </c:pt>
                <c:pt idx="1">
                  <c:v>45645</c:v>
                </c:pt>
                <c:pt idx="2">
                  <c:v>45652</c:v>
                </c:pt>
                <c:pt idx="3">
                  <c:v>45659</c:v>
                </c:pt>
                <c:pt idx="4">
                  <c:v>45666</c:v>
                </c:pt>
                <c:pt idx="5">
                  <c:v>45673</c:v>
                </c:pt>
                <c:pt idx="6">
                  <c:v>45680</c:v>
                </c:pt>
                <c:pt idx="7">
                  <c:v>45687</c:v>
                </c:pt>
                <c:pt idx="8">
                  <c:v>45694</c:v>
                </c:pt>
                <c:pt idx="9">
                  <c:v>45701</c:v>
                </c:pt>
                <c:pt idx="10">
                  <c:v>45708</c:v>
                </c:pt>
              </c:numCache>
            </c:numRef>
          </c:cat>
          <c:val>
            <c:numRef>
              <c:f>Summary!$D$25:$D$35</c:f>
              <c:numCache>
                <c:formatCode>0.0%</c:formatCode>
                <c:ptCount val="11"/>
                <c:pt idx="0">
                  <c:v>0</c:v>
                </c:pt>
                <c:pt idx="1">
                  <c:v>0.4</c:v>
                </c:pt>
                <c:pt idx="2">
                  <c:v>0.5</c:v>
                </c:pt>
                <c:pt idx="3">
                  <c:v>0.6</c:v>
                </c:pt>
              </c:numCache>
            </c:numRef>
          </c:val>
          <c:smooth val="1"/>
          <c:extLst>
            <c:ext xmlns:c16="http://schemas.microsoft.com/office/drawing/2014/chart" uri="{C3380CC4-5D6E-409C-BE32-E72D297353CC}">
              <c16:uniqueId val="{00000001-94BD-48B8-8426-45B9D20FE1F3}"/>
            </c:ext>
          </c:extLst>
        </c:ser>
        <c:dLbls>
          <c:showLegendKey val="0"/>
          <c:showVal val="0"/>
          <c:showCatName val="0"/>
          <c:showSerName val="0"/>
          <c:showPercent val="0"/>
          <c:showBubbleSize val="0"/>
        </c:dLbls>
        <c:marker val="1"/>
        <c:smooth val="0"/>
        <c:axId val="1347054431"/>
        <c:axId val="1"/>
      </c:lineChart>
      <c:dateAx>
        <c:axId val="1347054431"/>
        <c:scaling>
          <c:orientation val="minMax"/>
        </c:scaling>
        <c:delete val="0"/>
        <c:axPos val="b"/>
        <c:numFmt formatCode="yyyy/mm/dd" sourceLinked="0"/>
        <c:majorTickMark val="out"/>
        <c:minorTickMark val="none"/>
        <c:tickLblPos val="nextTo"/>
        <c:crossAx val="1"/>
        <c:crosses val="autoZero"/>
        <c:auto val="1"/>
        <c:lblOffset val="100"/>
        <c:baseTimeUnit val="days"/>
      </c:dateAx>
      <c:valAx>
        <c:axId val="1"/>
        <c:scaling>
          <c:orientation val="minMax"/>
          <c:max val="1"/>
          <c:min val="0"/>
        </c:scaling>
        <c:delete val="0"/>
        <c:axPos val="l"/>
        <c:majorGridlines/>
        <c:numFmt formatCode="0%" sourceLinked="1"/>
        <c:majorTickMark val="out"/>
        <c:minorTickMark val="none"/>
        <c:tickLblPos val="nextTo"/>
        <c:crossAx val="134705443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ltLang="ko-KR" sz="1800" b="1" i="0" baseline="0">
                <a:effectLst/>
                <a:latin typeface="+mn-ea"/>
                <a:ea typeface="+mn-ea"/>
              </a:rPr>
              <a:t>D8 </a:t>
            </a:r>
            <a:r>
              <a:rPr lang="ko-KR" altLang="en-US" sz="1800" b="1" i="0" baseline="0">
                <a:effectLst/>
                <a:latin typeface="+mn-ea"/>
                <a:ea typeface="+mn-ea"/>
              </a:rPr>
              <a:t>동시이동 </a:t>
            </a:r>
            <a:r>
              <a:rPr lang="en-US" altLang="ko-KR" sz="1800" b="1" i="0" baseline="0">
                <a:effectLst/>
                <a:latin typeface="+mn-ea"/>
                <a:ea typeface="+mn-ea"/>
              </a:rPr>
              <a:t>FW </a:t>
            </a:r>
            <a:r>
              <a:rPr lang="ko-KR" altLang="en-US" sz="1800" b="1" i="0" baseline="0">
                <a:effectLst/>
                <a:latin typeface="+mn-ea"/>
                <a:ea typeface="+mn-ea"/>
              </a:rPr>
              <a:t>진행 </a:t>
            </a:r>
            <a:r>
              <a:rPr lang="en-US" altLang="ko-KR" sz="1800" b="1" i="0" baseline="0">
                <a:effectLst/>
                <a:latin typeface="+mn-ea"/>
                <a:ea typeface="+mn-ea"/>
              </a:rPr>
              <a:t>Summary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ko-KR"/>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3DB0-439E-A6E4-E1695D8076C4}"/>
              </c:ext>
            </c:extLst>
          </c:dPt>
          <c:dPt>
            <c:idx val="1"/>
            <c:bubble3D val="0"/>
            <c:explosion val="6"/>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4-B8E8-4055-98A3-B262A30585DB}"/>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3DB0-439E-A6E4-E1695D8076C4}"/>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ko-KR"/>
              </a:p>
            </c:txPr>
            <c:dLblPos val="inEnd"/>
            <c:showLegendKey val="1"/>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Summary!$B$4:$B$5</c:f>
              <c:strCache>
                <c:ptCount val="2"/>
                <c:pt idx="0">
                  <c:v>Open (적용전)</c:v>
                </c:pt>
                <c:pt idx="1">
                  <c:v>Closed (완료)</c:v>
                </c:pt>
              </c:strCache>
            </c:strRef>
          </c:cat>
          <c:val>
            <c:numRef>
              <c:f>Summary!$C$4:$C$5</c:f>
              <c:numCache>
                <c:formatCode>0</c:formatCode>
                <c:ptCount val="2"/>
                <c:pt idx="0">
                  <c:v>0</c:v>
                </c:pt>
                <c:pt idx="1">
                  <c:v>2</c:v>
                </c:pt>
              </c:numCache>
            </c:numRef>
          </c:val>
          <c:extLst>
            <c:ext xmlns:c16="http://schemas.microsoft.com/office/drawing/2014/chart" uri="{C3380CC4-5D6E-409C-BE32-E72D297353CC}">
              <c16:uniqueId val="{00000000-B8E8-4055-98A3-B262A30585DB}"/>
            </c:ext>
          </c:extLst>
        </c:ser>
        <c:ser>
          <c:idx val="1"/>
          <c:order val="1"/>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3DB0-439E-A6E4-E1695D8076C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3DB0-439E-A6E4-E1695D8076C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3DB0-439E-A6E4-E1695D8076C4}"/>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ko-K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Summary!$B$4:$B$5</c:f>
              <c:strCache>
                <c:ptCount val="2"/>
                <c:pt idx="0">
                  <c:v>Open (적용전)</c:v>
                </c:pt>
                <c:pt idx="1">
                  <c:v>Closed (완료)</c:v>
                </c:pt>
              </c:strCache>
            </c:strRef>
          </c:cat>
          <c:val>
            <c:numRef>
              <c:f>Summary!$D$4:$D$6</c:f>
              <c:numCache>
                <c:formatCode>0.0%</c:formatCode>
                <c:ptCount val="3"/>
                <c:pt idx="0">
                  <c:v>0</c:v>
                </c:pt>
                <c:pt idx="1">
                  <c:v>1</c:v>
                </c:pt>
                <c:pt idx="2">
                  <c:v>1</c:v>
                </c:pt>
              </c:numCache>
            </c:numRef>
          </c:val>
          <c:extLst>
            <c:ext xmlns:c16="http://schemas.microsoft.com/office/drawing/2014/chart" uri="{C3380CC4-5D6E-409C-BE32-E72D297353CC}">
              <c16:uniqueId val="{00000001-B8E8-4055-98A3-B262A30585DB}"/>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ko-K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ko-K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ltLang="ko-KR" sz="1800" b="1" i="0" baseline="0">
                <a:effectLst/>
                <a:latin typeface="+mn-ea"/>
                <a:ea typeface="+mn-ea"/>
              </a:rPr>
              <a:t>D8 </a:t>
            </a:r>
            <a:r>
              <a:rPr lang="ko-KR" altLang="en-US" sz="1800" b="1" i="0" baseline="0">
                <a:effectLst/>
                <a:latin typeface="+mn-ea"/>
                <a:ea typeface="+mn-ea"/>
              </a:rPr>
              <a:t>동시이동 </a:t>
            </a:r>
            <a:r>
              <a:rPr lang="en-US" altLang="ko-KR" sz="1800" b="1" i="0" baseline="0">
                <a:effectLst/>
                <a:latin typeface="+mn-ea"/>
                <a:ea typeface="+mn-ea"/>
              </a:rPr>
              <a:t>FW </a:t>
            </a:r>
            <a:r>
              <a:rPr lang="ko-KR" altLang="en-US" sz="1800" b="1" i="0" baseline="0">
                <a:effectLst/>
                <a:latin typeface="+mn-ea"/>
                <a:ea typeface="+mn-ea"/>
              </a:rPr>
              <a:t>진행 </a:t>
            </a:r>
            <a:r>
              <a:rPr lang="en-US" altLang="ko-KR" sz="1800" b="1" i="0" baseline="0">
                <a:effectLst/>
                <a:latin typeface="+mn-ea"/>
                <a:ea typeface="+mn-ea"/>
              </a:rPr>
              <a:t>Summary</a:t>
            </a:r>
          </a:p>
          <a:p>
            <a:pPr>
              <a:defRPr/>
            </a:pPr>
            <a:r>
              <a:rPr lang="en-US" altLang="ko-KR" sz="1800" b="1" i="0" baseline="0">
                <a:effectLst/>
                <a:latin typeface="+mn-ea"/>
                <a:ea typeface="+mn-ea"/>
              </a:rPr>
              <a:t>(left </a:t>
            </a:r>
            <a:r>
              <a:rPr lang="ko-KR" altLang="en-US" sz="1800" b="1" i="0" baseline="0">
                <a:effectLst/>
                <a:latin typeface="+mn-ea"/>
                <a:ea typeface="+mn-ea"/>
              </a:rPr>
              <a:t>포함</a:t>
            </a:r>
            <a:r>
              <a:rPr lang="en-US" altLang="ko-KR" sz="1800" b="1" i="0" baseline="0">
                <a:effectLst/>
                <a:latin typeface="+mn-ea"/>
                <a:ea typeface="+mn-ea"/>
              </a:rPr>
              <a: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ko-KR"/>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679B-4D36-A5C4-C203F4785666}"/>
              </c:ext>
            </c:extLst>
          </c:dPt>
          <c:dPt>
            <c:idx val="1"/>
            <c:bubble3D val="0"/>
            <c:explosion val="6"/>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679B-4D36-A5C4-C203F4785666}"/>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679B-4D36-A5C4-C203F4785666}"/>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ko-KR"/>
              </a:p>
            </c:txPr>
            <c:dLblPos val="inEnd"/>
            <c:showLegendKey val="1"/>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Summary!$B$4:$B$6</c:f>
              <c:strCache>
                <c:ptCount val="3"/>
                <c:pt idx="0">
                  <c:v>Open (적용전)</c:v>
                </c:pt>
                <c:pt idx="1">
                  <c:v>Closed (완료)</c:v>
                </c:pt>
                <c:pt idx="2">
                  <c:v>Left (미적용)</c:v>
                </c:pt>
              </c:strCache>
            </c:strRef>
          </c:cat>
          <c:val>
            <c:numRef>
              <c:f>Summary!$C$4:$C$6</c:f>
              <c:numCache>
                <c:formatCode>0</c:formatCode>
                <c:ptCount val="3"/>
                <c:pt idx="0">
                  <c:v>0</c:v>
                </c:pt>
                <c:pt idx="1">
                  <c:v>2</c:v>
                </c:pt>
                <c:pt idx="2">
                  <c:v>0</c:v>
                </c:pt>
              </c:numCache>
            </c:numRef>
          </c:val>
          <c:extLst>
            <c:ext xmlns:c16="http://schemas.microsoft.com/office/drawing/2014/chart" uri="{C3380CC4-5D6E-409C-BE32-E72D297353CC}">
              <c16:uniqueId val="{00000006-679B-4D36-A5C4-C203F4785666}"/>
            </c:ext>
          </c:extLst>
        </c:ser>
        <c:ser>
          <c:idx val="1"/>
          <c:order val="1"/>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8-679B-4D36-A5C4-C203F4785666}"/>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679B-4D36-A5C4-C203F4785666}"/>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679B-4D36-A5C4-C203F4785666}"/>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ko-K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Summary!$B$4:$B$6</c:f>
              <c:strCache>
                <c:ptCount val="3"/>
                <c:pt idx="0">
                  <c:v>Open (적용전)</c:v>
                </c:pt>
                <c:pt idx="1">
                  <c:v>Closed (완료)</c:v>
                </c:pt>
                <c:pt idx="2">
                  <c:v>Left (미적용)</c:v>
                </c:pt>
              </c:strCache>
            </c:strRef>
          </c:cat>
          <c:val>
            <c:numRef>
              <c:f>Summary!$D$4:$D$6</c:f>
              <c:numCache>
                <c:formatCode>0.0%</c:formatCode>
                <c:ptCount val="3"/>
                <c:pt idx="0">
                  <c:v>0</c:v>
                </c:pt>
                <c:pt idx="1">
                  <c:v>1</c:v>
                </c:pt>
                <c:pt idx="2">
                  <c:v>1</c:v>
                </c:pt>
              </c:numCache>
            </c:numRef>
          </c:val>
          <c:extLst>
            <c:ext xmlns:c16="http://schemas.microsoft.com/office/drawing/2014/chart" uri="{C3380CC4-5D6E-409C-BE32-E72D297353CC}">
              <c16:uniqueId val="{0000000D-679B-4D36-A5C4-C203F4785666}"/>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ko-K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4</xdr:col>
      <xdr:colOff>4833567</xdr:colOff>
      <xdr:row>34</xdr:row>
      <xdr:rowOff>38922</xdr:rowOff>
    </xdr:to>
    <xdr:pic>
      <xdr:nvPicPr>
        <xdr:cNvPr id="5" name="그림 4">
          <a:extLst>
            <a:ext uri="{FF2B5EF4-FFF2-40B4-BE49-F238E27FC236}">
              <a16:creationId xmlns:a16="http://schemas.microsoft.com/office/drawing/2014/main" id="{B6286969-ECBD-4320-93B5-F7EABB0744CA}"/>
            </a:ext>
          </a:extLst>
        </xdr:cNvPr>
        <xdr:cNvPicPr>
          <a:picLocks noChangeAspect="1"/>
        </xdr:cNvPicPr>
      </xdr:nvPicPr>
      <xdr:blipFill>
        <a:blip xmlns:r="http://schemas.openxmlformats.org/officeDocument/2006/relationships" r:embed="rId1"/>
        <a:stretch>
          <a:fillRect/>
        </a:stretch>
      </xdr:blipFill>
      <xdr:spPr>
        <a:xfrm>
          <a:off x="493059" y="6275294"/>
          <a:ext cx="9685714" cy="23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66675</xdr:colOff>
      <xdr:row>85</xdr:row>
      <xdr:rowOff>19050</xdr:rowOff>
    </xdr:from>
    <xdr:to>
      <xdr:col>11</xdr:col>
      <xdr:colOff>161925</xdr:colOff>
      <xdr:row>118</xdr:row>
      <xdr:rowOff>28575</xdr:rowOff>
    </xdr:to>
    <xdr:graphicFrame macro="">
      <xdr:nvGraphicFramePr>
        <xdr:cNvPr id="5" name="Chart 262">
          <a:extLst>
            <a:ext uri="{FF2B5EF4-FFF2-40B4-BE49-F238E27FC236}">
              <a16:creationId xmlns:a16="http://schemas.microsoft.com/office/drawing/2014/main" id="{2CF372EA-8D27-4AA6-B811-DCC769FF6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114300</xdr:colOff>
      <xdr:row>38</xdr:row>
      <xdr:rowOff>133350</xdr:rowOff>
    </xdr:from>
    <xdr:to>
      <xdr:col>8</xdr:col>
      <xdr:colOff>0</xdr:colOff>
      <xdr:row>64</xdr:row>
      <xdr:rowOff>85725</xdr:rowOff>
    </xdr:to>
    <xdr:graphicFrame macro="">
      <xdr:nvGraphicFramePr>
        <xdr:cNvPr id="6" name="차트 5">
          <a:extLst>
            <a:ext uri="{FF2B5EF4-FFF2-40B4-BE49-F238E27FC236}">
              <a16:creationId xmlns:a16="http://schemas.microsoft.com/office/drawing/2014/main" id="{80327992-A148-47F9-938D-7455034CCE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676274</xdr:colOff>
      <xdr:row>0</xdr:row>
      <xdr:rowOff>342900</xdr:rowOff>
    </xdr:from>
    <xdr:to>
      <xdr:col>12</xdr:col>
      <xdr:colOff>523875</xdr:colOff>
      <xdr:row>18</xdr:row>
      <xdr:rowOff>171450</xdr:rowOff>
    </xdr:to>
    <xdr:graphicFrame macro="">
      <xdr:nvGraphicFramePr>
        <xdr:cNvPr id="7" name="차트 6">
          <a:extLst>
            <a:ext uri="{FF2B5EF4-FFF2-40B4-BE49-F238E27FC236}">
              <a16:creationId xmlns:a16="http://schemas.microsoft.com/office/drawing/2014/main" id="{A6AEC4F1-DFB4-47CF-B95F-40D59574EF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20</xdr:row>
      <xdr:rowOff>0</xdr:rowOff>
    </xdr:from>
    <xdr:to>
      <xdr:col>12</xdr:col>
      <xdr:colOff>533401</xdr:colOff>
      <xdr:row>36</xdr:row>
      <xdr:rowOff>200025</xdr:rowOff>
    </xdr:to>
    <xdr:graphicFrame macro="">
      <xdr:nvGraphicFramePr>
        <xdr:cNvPr id="8" name="차트 7">
          <a:extLst>
            <a:ext uri="{FF2B5EF4-FFF2-40B4-BE49-F238E27FC236}">
              <a16:creationId xmlns:a16="http://schemas.microsoft.com/office/drawing/2014/main" id="{BE3A7079-B45B-4E5D-8E19-C7DF91704C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12</xdr:col>
      <xdr:colOff>546055</xdr:colOff>
      <xdr:row>18</xdr:row>
      <xdr:rowOff>194259</xdr:rowOff>
    </xdr:to>
    <xdr:pic>
      <xdr:nvPicPr>
        <xdr:cNvPr id="5" name="그림 4">
          <a:extLst>
            <a:ext uri="{FF2B5EF4-FFF2-40B4-BE49-F238E27FC236}">
              <a16:creationId xmlns:a16="http://schemas.microsoft.com/office/drawing/2014/main" id="{7832AB3F-02FF-44ED-AF2A-E9F44295267F}"/>
            </a:ext>
          </a:extLst>
        </xdr:cNvPr>
        <xdr:cNvPicPr>
          <a:picLocks noChangeAspect="1"/>
        </xdr:cNvPicPr>
      </xdr:nvPicPr>
      <xdr:blipFill>
        <a:blip xmlns:r="http://schemas.openxmlformats.org/officeDocument/2006/relationships" r:embed="rId1"/>
        <a:stretch>
          <a:fillRect/>
        </a:stretch>
      </xdr:blipFill>
      <xdr:spPr>
        <a:xfrm>
          <a:off x="5553075" y="333375"/>
          <a:ext cx="5346655" cy="380423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380528</xdr:colOff>
      <xdr:row>15</xdr:row>
      <xdr:rowOff>72008</xdr:rowOff>
    </xdr:from>
    <xdr:to>
      <xdr:col>13</xdr:col>
      <xdr:colOff>486816</xdr:colOff>
      <xdr:row>17</xdr:row>
      <xdr:rowOff>84956</xdr:rowOff>
    </xdr:to>
    <xdr:sp macro="" textlink="">
      <xdr:nvSpPr>
        <xdr:cNvPr id="2" name="직사각형 1">
          <a:extLst>
            <a:ext uri="{FF2B5EF4-FFF2-40B4-BE49-F238E27FC236}">
              <a16:creationId xmlns:a16="http://schemas.microsoft.com/office/drawing/2014/main" id="{C003B73D-E69D-4F57-8D8B-3FC03EBFF0DE}"/>
            </a:ext>
          </a:extLst>
        </xdr:cNvPr>
        <xdr:cNvSpPr/>
      </xdr:nvSpPr>
      <xdr:spPr>
        <a:xfrm>
          <a:off x="7238528" y="281558"/>
          <a:ext cx="792088" cy="432048"/>
        </a:xfrm>
        <a:prstGeom prst="rect">
          <a:avLst/>
        </a:prstGeom>
        <a:solidFill>
          <a:srgbClr val="004F8A"/>
        </a:solidFill>
        <a:ln w="12700">
          <a:solidFill>
            <a:srgbClr val="0070C0"/>
          </a:solidFill>
        </a:ln>
        <a:effectLst/>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wrap="square" rtlCol="0" anchor="ct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r>
            <a:rPr lang="en-US" altLang="ko-KR" sz="2000" b="1">
              <a:solidFill>
                <a:schemeClr val="bg1"/>
              </a:solidFill>
              <a:latin typeface="맑은 고딕" pitchFamily="50" charset="-127"/>
              <a:ea typeface="맑은 고딕" pitchFamily="50" charset="-127"/>
            </a:rPr>
            <a:t>E77</a:t>
          </a:r>
          <a:endParaRPr lang="ko-KR" altLang="en-US" sz="2000" b="1">
            <a:solidFill>
              <a:schemeClr val="bg1"/>
            </a:solidFill>
            <a:latin typeface="맑은 고딕" pitchFamily="50" charset="-127"/>
            <a:ea typeface="맑은 고딕" pitchFamily="50" charset="-127"/>
          </a:endParaRPr>
        </a:p>
      </xdr:txBody>
    </xdr:sp>
    <xdr:clientData/>
  </xdr:twoCellAnchor>
  <xdr:twoCellAnchor>
    <xdr:from>
      <xdr:col>3</xdr:col>
      <xdr:colOff>0</xdr:colOff>
      <xdr:row>18</xdr:row>
      <xdr:rowOff>163438</xdr:rowOff>
    </xdr:from>
    <xdr:to>
      <xdr:col>4</xdr:col>
      <xdr:colOff>538336</xdr:colOff>
      <xdr:row>22</xdr:row>
      <xdr:rowOff>45318</xdr:rowOff>
    </xdr:to>
    <xdr:sp macro="" textlink="">
      <xdr:nvSpPr>
        <xdr:cNvPr id="3" name="한쪽 모서리가 잘린 사각형 5">
          <a:extLst>
            <a:ext uri="{FF2B5EF4-FFF2-40B4-BE49-F238E27FC236}">
              <a16:creationId xmlns:a16="http://schemas.microsoft.com/office/drawing/2014/main" id="{4DAB2B74-4787-4B02-800A-C807CC479ED0}"/>
            </a:ext>
          </a:extLst>
        </xdr:cNvPr>
        <xdr:cNvSpPr/>
      </xdr:nvSpPr>
      <xdr:spPr>
        <a:xfrm>
          <a:off x="685800" y="1001638"/>
          <a:ext cx="1224136" cy="720080"/>
        </a:xfrm>
        <a:prstGeom prst="snip1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r>
            <a:rPr lang="en-US" altLang="ko-KR" sz="2400"/>
            <a:t>E77</a:t>
          </a:r>
          <a:endParaRPr lang="ko-KR" altLang="en-US" sz="2400"/>
        </a:p>
      </xdr:txBody>
    </xdr:sp>
    <xdr:clientData/>
  </xdr:twoCellAnchor>
  <xdr:twoCellAnchor>
    <xdr:from>
      <xdr:col>3</xdr:col>
      <xdr:colOff>0</xdr:colOff>
      <xdr:row>24</xdr:row>
      <xdr:rowOff>130274</xdr:rowOff>
    </xdr:from>
    <xdr:to>
      <xdr:col>4</xdr:col>
      <xdr:colOff>538336</xdr:colOff>
      <xdr:row>28</xdr:row>
      <xdr:rowOff>12154</xdr:rowOff>
    </xdr:to>
    <xdr:sp macro="" textlink="">
      <xdr:nvSpPr>
        <xdr:cNvPr id="4" name="한쪽 모서리가 잘린 사각형 6">
          <a:extLst>
            <a:ext uri="{FF2B5EF4-FFF2-40B4-BE49-F238E27FC236}">
              <a16:creationId xmlns:a16="http://schemas.microsoft.com/office/drawing/2014/main" id="{3E3C277F-E8F2-497C-BDEB-BA1FC80366CE}"/>
            </a:ext>
          </a:extLst>
        </xdr:cNvPr>
        <xdr:cNvSpPr/>
      </xdr:nvSpPr>
      <xdr:spPr>
        <a:xfrm>
          <a:off x="685800" y="2225774"/>
          <a:ext cx="1224136" cy="720080"/>
        </a:xfrm>
        <a:prstGeom prst="snip1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r>
            <a:rPr lang="en-US" altLang="ko-KR" sz="2400"/>
            <a:t>E81</a:t>
          </a:r>
          <a:endParaRPr lang="ko-KR" altLang="en-US" sz="2400"/>
        </a:p>
      </xdr:txBody>
    </xdr:sp>
    <xdr:clientData/>
  </xdr:twoCellAnchor>
  <xdr:twoCellAnchor>
    <xdr:from>
      <xdr:col>3</xdr:col>
      <xdr:colOff>0</xdr:colOff>
      <xdr:row>30</xdr:row>
      <xdr:rowOff>97110</xdr:rowOff>
    </xdr:from>
    <xdr:to>
      <xdr:col>4</xdr:col>
      <xdr:colOff>538336</xdr:colOff>
      <xdr:row>33</xdr:row>
      <xdr:rowOff>188540</xdr:rowOff>
    </xdr:to>
    <xdr:sp macro="" textlink="">
      <xdr:nvSpPr>
        <xdr:cNvPr id="5" name="한쪽 모서리가 잘린 사각형 7">
          <a:extLst>
            <a:ext uri="{FF2B5EF4-FFF2-40B4-BE49-F238E27FC236}">
              <a16:creationId xmlns:a16="http://schemas.microsoft.com/office/drawing/2014/main" id="{A43C060F-86CC-4065-9869-B746D44D3DBF}"/>
            </a:ext>
          </a:extLst>
        </xdr:cNvPr>
        <xdr:cNvSpPr/>
      </xdr:nvSpPr>
      <xdr:spPr>
        <a:xfrm>
          <a:off x="685800" y="3449910"/>
          <a:ext cx="1224136" cy="720080"/>
        </a:xfrm>
        <a:prstGeom prst="snip1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r>
            <a:rPr lang="en-US" altLang="ko-KR" sz="2200"/>
            <a:t>E02E04</a:t>
          </a:r>
          <a:endParaRPr lang="ko-KR" altLang="en-US" sz="2200"/>
        </a:p>
      </xdr:txBody>
    </xdr:sp>
    <xdr:clientData/>
  </xdr:twoCellAnchor>
  <xdr:twoCellAnchor>
    <xdr:from>
      <xdr:col>3</xdr:col>
      <xdr:colOff>432048</xdr:colOff>
      <xdr:row>22</xdr:row>
      <xdr:rowOff>45318</xdr:rowOff>
    </xdr:from>
    <xdr:to>
      <xdr:col>4</xdr:col>
      <xdr:colOff>106288</xdr:colOff>
      <xdr:row>24</xdr:row>
      <xdr:rowOff>130274</xdr:rowOff>
    </xdr:to>
    <xdr:sp macro="" textlink="">
      <xdr:nvSpPr>
        <xdr:cNvPr id="6" name="아래쪽 화살표 8">
          <a:extLst>
            <a:ext uri="{FF2B5EF4-FFF2-40B4-BE49-F238E27FC236}">
              <a16:creationId xmlns:a16="http://schemas.microsoft.com/office/drawing/2014/main" id="{8FA80D05-2AD7-4859-8B2B-DB4CF95FF705}"/>
            </a:ext>
          </a:extLst>
        </xdr:cNvPr>
        <xdr:cNvSpPr/>
      </xdr:nvSpPr>
      <xdr:spPr>
        <a:xfrm>
          <a:off x="1117848" y="1721718"/>
          <a:ext cx="360040" cy="50405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endParaRPr lang="ko-KR" altLang="en-US"/>
        </a:p>
      </xdr:txBody>
    </xdr:sp>
    <xdr:clientData/>
  </xdr:twoCellAnchor>
  <xdr:twoCellAnchor>
    <xdr:from>
      <xdr:col>3</xdr:col>
      <xdr:colOff>432048</xdr:colOff>
      <xdr:row>28</xdr:row>
      <xdr:rowOff>12154</xdr:rowOff>
    </xdr:from>
    <xdr:to>
      <xdr:col>4</xdr:col>
      <xdr:colOff>106288</xdr:colOff>
      <xdr:row>30</xdr:row>
      <xdr:rowOff>97110</xdr:rowOff>
    </xdr:to>
    <xdr:sp macro="" textlink="">
      <xdr:nvSpPr>
        <xdr:cNvPr id="7" name="아래쪽 화살표 9">
          <a:extLst>
            <a:ext uri="{FF2B5EF4-FFF2-40B4-BE49-F238E27FC236}">
              <a16:creationId xmlns:a16="http://schemas.microsoft.com/office/drawing/2014/main" id="{011F70C8-84E0-4185-AD3E-59929ECCC343}"/>
            </a:ext>
          </a:extLst>
        </xdr:cNvPr>
        <xdr:cNvSpPr/>
      </xdr:nvSpPr>
      <xdr:spPr>
        <a:xfrm>
          <a:off x="1117848" y="2945854"/>
          <a:ext cx="360040" cy="50405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endParaRPr lang="ko-KR" altLang="en-US"/>
        </a:p>
      </xdr:txBody>
    </xdr:sp>
    <xdr:clientData/>
  </xdr:twoCellAnchor>
  <xdr:twoCellAnchor>
    <xdr:from>
      <xdr:col>7</xdr:col>
      <xdr:colOff>641176</xdr:colOff>
      <xdr:row>15</xdr:row>
      <xdr:rowOff>0</xdr:rowOff>
    </xdr:from>
    <xdr:to>
      <xdr:col>12</xdr:col>
      <xdr:colOff>164504</xdr:colOff>
      <xdr:row>16</xdr:row>
      <xdr:rowOff>150490</xdr:rowOff>
    </xdr:to>
    <xdr:sp macro="" textlink="">
      <xdr:nvSpPr>
        <xdr:cNvPr id="8" name="내용 개체 틀 3">
          <a:extLst>
            <a:ext uri="{FF2B5EF4-FFF2-40B4-BE49-F238E27FC236}">
              <a16:creationId xmlns:a16="http://schemas.microsoft.com/office/drawing/2014/main" id="{8DE59BF1-55A1-45E3-AABC-D325CD9A995A}"/>
            </a:ext>
          </a:extLst>
        </xdr:cNvPr>
        <xdr:cNvSpPr txBox="1">
          <a:spLocks/>
        </xdr:cNvSpPr>
      </xdr:nvSpPr>
      <xdr:spPr>
        <a:xfrm>
          <a:off x="4070176" y="209550"/>
          <a:ext cx="2952328" cy="360040"/>
        </a:xfrm>
        <a:prstGeom prst="rect">
          <a:avLst/>
        </a:prstGeom>
      </xdr:spPr>
      <xdr:txBody>
        <a:bodyPr vert="horz" wrap="square" lIns="91440" tIns="45720" rIns="91440" bIns="45720" rtlCol="0">
          <a:norm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marL="342900" marR="0" lvl="0" indent="-342900" algn="l" defTabSz="914400" rtl="0" eaLnBrk="1" fontAlgn="auto" latinLnBrk="1" hangingPunct="1">
            <a:lnSpc>
              <a:spcPct val="100000"/>
            </a:lnSpc>
            <a:spcBef>
              <a:spcPct val="20000"/>
            </a:spcBef>
            <a:spcAft>
              <a:spcPts val="0"/>
            </a:spcAft>
            <a:buClrTx/>
            <a:buSzTx/>
            <a:buFontTx/>
            <a:buBlip>
              <a:blip xmlns:r="http://schemas.openxmlformats.org/officeDocument/2006/relationships" r:embed="rId1"/>
            </a:buBlip>
            <a:tabLst/>
            <a:defRPr/>
          </a:pPr>
          <a:r>
            <a:rPr lang="en-US" altLang="ko-KR" sz="1400">
              <a:latin typeface="Arial" pitchFamily="34" charset="0"/>
              <a:cs typeface="Arial" pitchFamily="34" charset="0"/>
            </a:rPr>
            <a:t>Regression </a:t>
          </a:r>
          <a:r>
            <a:rPr kumimoji="0" lang="en-US" altLang="ko-KR" sz="1400" b="0" i="0" u="none" strike="noStrike" kern="1200" cap="none" spc="0" normalizeH="0" baseline="0">
              <a:ln>
                <a:noFill/>
              </a:ln>
              <a:solidFill>
                <a:schemeClr val="tx1"/>
              </a:solidFill>
              <a:effectLst/>
              <a:uLnTx/>
              <a:uFillTx/>
              <a:latin typeface="Arial" pitchFamily="34" charset="0"/>
              <a:ea typeface="+mn-ea"/>
              <a:cs typeface="Arial" pitchFamily="34" charset="0"/>
            </a:rPr>
            <a:t>History</a:t>
          </a:r>
          <a:endParaRPr kumimoji="0" lang="ko-KR" altLang="en-US" sz="1400" b="0" i="0" u="none" strike="noStrike" kern="1200" cap="none" spc="0" normalizeH="0" baseline="0">
            <a:ln>
              <a:noFill/>
            </a:ln>
            <a:solidFill>
              <a:schemeClr val="tx1"/>
            </a:solidFill>
            <a:effectLst/>
            <a:uLnTx/>
            <a:uFillTx/>
            <a:latin typeface="Arial" pitchFamily="34" charset="0"/>
            <a:ea typeface="+mn-ea"/>
            <a:cs typeface="Arial" pitchFamily="34" charset="0"/>
          </a:endParaRPr>
        </a:p>
      </xdr:txBody>
    </xdr:sp>
    <xdr:clientData/>
  </xdr:twoCellAnchor>
  <xdr:twoCellAnchor>
    <xdr:from>
      <xdr:col>7</xdr:col>
      <xdr:colOff>569168</xdr:colOff>
      <xdr:row>17</xdr:row>
      <xdr:rowOff>12948</xdr:rowOff>
    </xdr:from>
    <xdr:to>
      <xdr:col>12</xdr:col>
      <xdr:colOff>20488</xdr:colOff>
      <xdr:row>35</xdr:row>
      <xdr:rowOff>57472</xdr:rowOff>
    </xdr:to>
    <xdr:sp macro="" textlink="">
      <xdr:nvSpPr>
        <xdr:cNvPr id="9" name="세로로 말린 두루마리 모양 12">
          <a:extLst>
            <a:ext uri="{FF2B5EF4-FFF2-40B4-BE49-F238E27FC236}">
              <a16:creationId xmlns:a16="http://schemas.microsoft.com/office/drawing/2014/main" id="{68973429-54A2-49E8-AC7F-26C045B42621}"/>
            </a:ext>
          </a:extLst>
        </xdr:cNvPr>
        <xdr:cNvSpPr/>
      </xdr:nvSpPr>
      <xdr:spPr>
        <a:xfrm>
          <a:off x="3998168" y="641598"/>
          <a:ext cx="2880320" cy="3816424"/>
        </a:xfrm>
        <a:prstGeom prst="verticalScroll">
          <a:avLst>
            <a:gd name="adj" fmla="val 267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endParaRPr lang="en-US" altLang="ko-KR"/>
        </a:p>
        <a:p>
          <a:pPr algn="ctr"/>
          <a:endParaRPr lang="en-US" altLang="ko-KR"/>
        </a:p>
        <a:p>
          <a:endParaRPr lang="en-US" altLang="ko-KR">
            <a:solidFill>
              <a:schemeClr val="tx1"/>
            </a:solidFill>
          </a:endParaRPr>
        </a:p>
        <a:p>
          <a:r>
            <a:rPr lang="en-US" altLang="ko-KR" sz="1200">
              <a:solidFill>
                <a:schemeClr val="tx1"/>
              </a:solidFill>
            </a:rPr>
            <a:t>STAGE I : XGPC 2.7.0</a:t>
          </a:r>
        </a:p>
        <a:p>
          <a:r>
            <a:rPr lang="en-US" altLang="ko-KR" sz="1200">
              <a:solidFill>
                <a:schemeClr val="tx1"/>
              </a:solidFill>
            </a:rPr>
            <a:t>   DF1 Full duplex default</a:t>
          </a:r>
        </a:p>
        <a:p>
          <a:r>
            <a:rPr lang="en-US" altLang="ko-KR" sz="1200">
              <a:solidFill>
                <a:schemeClr val="tx1"/>
              </a:solidFill>
            </a:rPr>
            <a:t>   </a:t>
          </a:r>
        </a:p>
        <a:p>
          <a:endParaRPr lang="en-US" altLang="ko-KR" sz="1200">
            <a:solidFill>
              <a:schemeClr val="tx1"/>
            </a:solidFill>
          </a:endParaRPr>
        </a:p>
        <a:p>
          <a:r>
            <a:rPr lang="en-US" altLang="ko-KR" sz="1200">
              <a:solidFill>
                <a:schemeClr val="tx1"/>
              </a:solidFill>
            </a:rPr>
            <a:t>STAGE II : XGPC 2.8.0</a:t>
          </a:r>
        </a:p>
        <a:p>
          <a:r>
            <a:rPr lang="en-US" altLang="ko-KR" sz="1200">
              <a:solidFill>
                <a:schemeClr val="tx1"/>
              </a:solidFill>
            </a:rPr>
            <a:t>   Xnet protocol default</a:t>
          </a:r>
        </a:p>
        <a:p>
          <a:r>
            <a:rPr lang="en-US" altLang="ko-KR" sz="1200">
              <a:solidFill>
                <a:schemeClr val="tx1"/>
              </a:solidFill>
            </a:rPr>
            <a:t>   Xnet Code V_0.3</a:t>
          </a:r>
        </a:p>
        <a:p>
          <a:endParaRPr lang="en-US" altLang="ko-KR" sz="1200">
            <a:solidFill>
              <a:schemeClr val="tx1"/>
            </a:solidFill>
          </a:endParaRPr>
        </a:p>
        <a:p>
          <a:endParaRPr lang="en-US" altLang="ko-KR" sz="1200">
            <a:solidFill>
              <a:schemeClr val="tx1"/>
            </a:solidFill>
          </a:endParaRPr>
        </a:p>
        <a:p>
          <a:r>
            <a:rPr lang="en-US" altLang="ko-KR" sz="1200">
              <a:solidFill>
                <a:schemeClr val="tx1"/>
              </a:solidFill>
            </a:rPr>
            <a:t>STAGE III : XGPC 3.1.0</a:t>
          </a:r>
        </a:p>
        <a:p>
          <a:r>
            <a:rPr lang="en-US" altLang="ko-KR" sz="1200">
              <a:solidFill>
                <a:schemeClr val="tx1"/>
              </a:solidFill>
            </a:rPr>
            <a:t>   Xnet Code V_0.6</a:t>
          </a:r>
        </a:p>
        <a:p>
          <a:r>
            <a:rPr lang="en-US" altLang="ko-KR" sz="1200">
              <a:solidFill>
                <a:schemeClr val="tx1"/>
              </a:solidFill>
            </a:rPr>
            <a:t>   PPICD V_0.10</a:t>
          </a:r>
        </a:p>
        <a:p>
          <a:r>
            <a:rPr lang="en-US" altLang="ko-KR" sz="1200">
              <a:solidFill>
                <a:schemeClr val="tx1"/>
              </a:solidFill>
            </a:rPr>
            <a:t>   System Status Adjust</a:t>
          </a:r>
        </a:p>
        <a:p>
          <a:pPr algn="ctr"/>
          <a:endParaRPr lang="en-US" altLang="ko-KR" sz="1200">
            <a:solidFill>
              <a:schemeClr val="tx1"/>
            </a:solidFill>
          </a:endParaRPr>
        </a:p>
        <a:p>
          <a:pPr algn="ctr"/>
          <a:endParaRPr lang="en-US" altLang="ko-KR" sz="1200">
            <a:solidFill>
              <a:schemeClr val="tx1"/>
            </a:solidFill>
          </a:endParaRPr>
        </a:p>
        <a:p>
          <a:pPr algn="ctr"/>
          <a:endParaRPr lang="en-US" altLang="ko-KR" sz="1200">
            <a:solidFill>
              <a:schemeClr val="tx1"/>
            </a:solidFill>
          </a:endParaRPr>
        </a:p>
        <a:p>
          <a:pPr algn="ctr"/>
          <a:endParaRPr lang="en-US" altLang="ko-KR" sz="1200">
            <a:solidFill>
              <a:schemeClr val="tx1"/>
            </a:solidFill>
          </a:endParaRPr>
        </a:p>
        <a:p>
          <a:pPr algn="ctr"/>
          <a:endParaRPr lang="en-US" altLang="ko-KR" sz="1200">
            <a:solidFill>
              <a:schemeClr val="tx1"/>
            </a:solidFill>
          </a:endParaRPr>
        </a:p>
        <a:p>
          <a:pPr algn="ctr"/>
          <a:endParaRPr lang="en-US" altLang="ko-KR" sz="1200">
            <a:solidFill>
              <a:schemeClr val="tx1"/>
            </a:solidFill>
          </a:endParaRPr>
        </a:p>
        <a:p>
          <a:pPr algn="ctr"/>
          <a:endParaRPr lang="en-US" altLang="ko-KR" sz="1200">
            <a:solidFill>
              <a:schemeClr val="tx1"/>
            </a:solidFill>
          </a:endParaRPr>
        </a:p>
        <a:p>
          <a:pPr algn="ctr"/>
          <a:endParaRPr lang="en-US" altLang="ko-KR" sz="1200">
            <a:solidFill>
              <a:schemeClr val="tx1"/>
            </a:solidFill>
          </a:endParaRPr>
        </a:p>
        <a:p>
          <a:pPr algn="ctr"/>
          <a:endParaRPr lang="en-US" altLang="ko-KR" sz="1200">
            <a:solidFill>
              <a:schemeClr val="tx1"/>
            </a:solidFill>
          </a:endParaRPr>
        </a:p>
        <a:p>
          <a:pPr algn="ctr"/>
          <a:endParaRPr lang="en-US" altLang="ko-KR" sz="1200">
            <a:solidFill>
              <a:schemeClr val="tx1"/>
            </a:solidFill>
          </a:endParaRPr>
        </a:p>
        <a:p>
          <a:pPr algn="ctr"/>
          <a:endParaRPr lang="ko-KR" altLang="en-US">
            <a:solidFill>
              <a:schemeClr val="tx1"/>
            </a:solidFill>
          </a:endParaRPr>
        </a:p>
      </xdr:txBody>
    </xdr:sp>
    <xdr:clientData/>
  </xdr:twoCellAnchor>
  <xdr:twoCellAnchor>
    <xdr:from>
      <xdr:col>5</xdr:col>
      <xdr:colOff>140568</xdr:colOff>
      <xdr:row>20</xdr:row>
      <xdr:rowOff>32370</xdr:rowOff>
    </xdr:from>
    <xdr:to>
      <xdr:col>6</xdr:col>
      <xdr:colOff>606896</xdr:colOff>
      <xdr:row>22</xdr:row>
      <xdr:rowOff>117326</xdr:rowOff>
    </xdr:to>
    <xdr:sp macro="" textlink="">
      <xdr:nvSpPr>
        <xdr:cNvPr id="10" name="타원형 설명선 13">
          <a:extLst>
            <a:ext uri="{FF2B5EF4-FFF2-40B4-BE49-F238E27FC236}">
              <a16:creationId xmlns:a16="http://schemas.microsoft.com/office/drawing/2014/main" id="{621C95C3-F294-42A5-8BA1-A24D6579FFE3}"/>
            </a:ext>
          </a:extLst>
        </xdr:cNvPr>
        <xdr:cNvSpPr/>
      </xdr:nvSpPr>
      <xdr:spPr>
        <a:xfrm>
          <a:off x="2197968" y="1289670"/>
          <a:ext cx="1152128" cy="504056"/>
        </a:xfrm>
        <a:prstGeom prst="wedgeEllipseCallout">
          <a:avLst>
            <a:gd name="adj1" fmla="val -92141"/>
            <a:gd name="adj2" fmla="val 77013"/>
          </a:avLst>
        </a:prstGeom>
        <a:solidFill>
          <a:schemeClr val="bg1"/>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r>
            <a:rPr lang="en-US" altLang="ko-KR" sz="1400">
              <a:solidFill>
                <a:schemeClr val="tx1"/>
              </a:solidFill>
            </a:rPr>
            <a:t>Stage I</a:t>
          </a:r>
          <a:endParaRPr lang="ko-KR" altLang="en-US" sz="1400">
            <a:solidFill>
              <a:schemeClr val="tx1"/>
            </a:solidFill>
          </a:endParaRPr>
        </a:p>
      </xdr:txBody>
    </xdr:sp>
    <xdr:clientData/>
  </xdr:twoCellAnchor>
  <xdr:twoCellAnchor>
    <xdr:from>
      <xdr:col>5</xdr:col>
      <xdr:colOff>140568</xdr:colOff>
      <xdr:row>26</xdr:row>
      <xdr:rowOff>71214</xdr:rowOff>
    </xdr:from>
    <xdr:to>
      <xdr:col>6</xdr:col>
      <xdr:colOff>606896</xdr:colOff>
      <xdr:row>28</xdr:row>
      <xdr:rowOff>156170</xdr:rowOff>
    </xdr:to>
    <xdr:sp macro="" textlink="">
      <xdr:nvSpPr>
        <xdr:cNvPr id="11" name="타원형 설명선 14">
          <a:extLst>
            <a:ext uri="{FF2B5EF4-FFF2-40B4-BE49-F238E27FC236}">
              <a16:creationId xmlns:a16="http://schemas.microsoft.com/office/drawing/2014/main" id="{0F186754-3FE5-4B6A-B4D3-65401BAEA6FC}"/>
            </a:ext>
          </a:extLst>
        </xdr:cNvPr>
        <xdr:cNvSpPr/>
      </xdr:nvSpPr>
      <xdr:spPr>
        <a:xfrm>
          <a:off x="2197968" y="2585814"/>
          <a:ext cx="1152128" cy="504056"/>
        </a:xfrm>
        <a:prstGeom prst="wedgeEllipseCallout">
          <a:avLst>
            <a:gd name="adj1" fmla="val -92141"/>
            <a:gd name="adj2" fmla="val 77013"/>
          </a:avLst>
        </a:prstGeom>
        <a:solidFill>
          <a:schemeClr val="bg1"/>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r>
            <a:rPr lang="en-US" altLang="ko-KR" sz="1400">
              <a:solidFill>
                <a:schemeClr val="tx1"/>
              </a:solidFill>
            </a:rPr>
            <a:t>Stage II</a:t>
          </a:r>
          <a:endParaRPr lang="ko-KR" altLang="en-US" sz="1400">
            <a:solidFill>
              <a:schemeClr val="tx1"/>
            </a:solidFill>
          </a:endParaRPr>
        </a:p>
      </xdr:txBody>
    </xdr:sp>
    <xdr:clientData/>
  </xdr:twoCellAnchor>
  <xdr:twoCellAnchor>
    <xdr:from>
      <xdr:col>5</xdr:col>
      <xdr:colOff>140568</xdr:colOff>
      <xdr:row>31</xdr:row>
      <xdr:rowOff>103584</xdr:rowOff>
    </xdr:from>
    <xdr:to>
      <xdr:col>6</xdr:col>
      <xdr:colOff>606896</xdr:colOff>
      <xdr:row>33</xdr:row>
      <xdr:rowOff>188540</xdr:rowOff>
    </xdr:to>
    <xdr:sp macro="" textlink="">
      <xdr:nvSpPr>
        <xdr:cNvPr id="12" name="타원형 설명선 15">
          <a:extLst>
            <a:ext uri="{FF2B5EF4-FFF2-40B4-BE49-F238E27FC236}">
              <a16:creationId xmlns:a16="http://schemas.microsoft.com/office/drawing/2014/main" id="{F98F14DD-B1C4-469E-BEC6-D9235A03E0E9}"/>
            </a:ext>
          </a:extLst>
        </xdr:cNvPr>
        <xdr:cNvSpPr/>
      </xdr:nvSpPr>
      <xdr:spPr>
        <a:xfrm>
          <a:off x="2197968" y="3665934"/>
          <a:ext cx="1152128" cy="504056"/>
        </a:xfrm>
        <a:prstGeom prst="wedgeEllipseCallout">
          <a:avLst>
            <a:gd name="adj1" fmla="val -92141"/>
            <a:gd name="adj2" fmla="val 77013"/>
          </a:avLst>
        </a:prstGeom>
        <a:solidFill>
          <a:schemeClr val="bg1"/>
        </a:solid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ko-KR"/>
          </a:defPPr>
          <a:lvl1pPr marL="0" algn="l" defTabSz="914400" rtl="0" eaLnBrk="1" latinLnBrk="1" hangingPunct="1">
            <a:defRPr sz="1800" kern="1200">
              <a:solidFill>
                <a:schemeClr val="lt1"/>
              </a:solidFill>
              <a:latin typeface="+mn-lt"/>
              <a:ea typeface="+mn-ea"/>
              <a:cs typeface="+mn-cs"/>
            </a:defRPr>
          </a:lvl1pPr>
          <a:lvl2pPr marL="457200" algn="l" defTabSz="914400" rtl="0" eaLnBrk="1" latinLnBrk="1" hangingPunct="1">
            <a:defRPr sz="1800" kern="1200">
              <a:solidFill>
                <a:schemeClr val="lt1"/>
              </a:solidFill>
              <a:latin typeface="+mn-lt"/>
              <a:ea typeface="+mn-ea"/>
              <a:cs typeface="+mn-cs"/>
            </a:defRPr>
          </a:lvl2pPr>
          <a:lvl3pPr marL="914400" algn="l" defTabSz="914400" rtl="0" eaLnBrk="1" latinLnBrk="1" hangingPunct="1">
            <a:defRPr sz="1800" kern="1200">
              <a:solidFill>
                <a:schemeClr val="lt1"/>
              </a:solidFill>
              <a:latin typeface="+mn-lt"/>
              <a:ea typeface="+mn-ea"/>
              <a:cs typeface="+mn-cs"/>
            </a:defRPr>
          </a:lvl3pPr>
          <a:lvl4pPr marL="1371600" algn="l" defTabSz="914400" rtl="0" eaLnBrk="1" latinLnBrk="1" hangingPunct="1">
            <a:defRPr sz="1800" kern="1200">
              <a:solidFill>
                <a:schemeClr val="lt1"/>
              </a:solidFill>
              <a:latin typeface="+mn-lt"/>
              <a:ea typeface="+mn-ea"/>
              <a:cs typeface="+mn-cs"/>
            </a:defRPr>
          </a:lvl4pPr>
          <a:lvl5pPr marL="1828800" algn="l" defTabSz="914400" rtl="0" eaLnBrk="1" latinLnBrk="1" hangingPunct="1">
            <a:defRPr sz="1800" kern="1200">
              <a:solidFill>
                <a:schemeClr val="lt1"/>
              </a:solidFill>
              <a:latin typeface="+mn-lt"/>
              <a:ea typeface="+mn-ea"/>
              <a:cs typeface="+mn-cs"/>
            </a:defRPr>
          </a:lvl5pPr>
          <a:lvl6pPr marL="2286000" algn="l" defTabSz="914400" rtl="0" eaLnBrk="1" latinLnBrk="1" hangingPunct="1">
            <a:defRPr sz="1800" kern="1200">
              <a:solidFill>
                <a:schemeClr val="lt1"/>
              </a:solidFill>
              <a:latin typeface="+mn-lt"/>
              <a:ea typeface="+mn-ea"/>
              <a:cs typeface="+mn-cs"/>
            </a:defRPr>
          </a:lvl6pPr>
          <a:lvl7pPr marL="2743200" algn="l" defTabSz="914400" rtl="0" eaLnBrk="1" latinLnBrk="1" hangingPunct="1">
            <a:defRPr sz="1800" kern="1200">
              <a:solidFill>
                <a:schemeClr val="lt1"/>
              </a:solidFill>
              <a:latin typeface="+mn-lt"/>
              <a:ea typeface="+mn-ea"/>
              <a:cs typeface="+mn-cs"/>
            </a:defRPr>
          </a:lvl7pPr>
          <a:lvl8pPr marL="3200400" algn="l" defTabSz="914400" rtl="0" eaLnBrk="1" latinLnBrk="1" hangingPunct="1">
            <a:defRPr sz="1800" kern="1200">
              <a:solidFill>
                <a:schemeClr val="lt1"/>
              </a:solidFill>
              <a:latin typeface="+mn-lt"/>
              <a:ea typeface="+mn-ea"/>
              <a:cs typeface="+mn-cs"/>
            </a:defRPr>
          </a:lvl8pPr>
          <a:lvl9pPr marL="3657600" algn="l" defTabSz="914400" rtl="0" eaLnBrk="1" latinLnBrk="1" hangingPunct="1">
            <a:defRPr sz="1800" kern="1200">
              <a:solidFill>
                <a:schemeClr val="lt1"/>
              </a:solidFill>
              <a:latin typeface="+mn-lt"/>
              <a:ea typeface="+mn-ea"/>
              <a:cs typeface="+mn-cs"/>
            </a:defRPr>
          </a:lvl9pPr>
        </a:lstStyle>
        <a:p>
          <a:pPr algn="ctr"/>
          <a:r>
            <a:rPr lang="en-US" altLang="ko-KR" sz="1400">
              <a:solidFill>
                <a:schemeClr val="tx1"/>
              </a:solidFill>
            </a:rPr>
            <a:t>Stage III</a:t>
          </a:r>
          <a:endParaRPr lang="ko-KR" altLang="en-US" sz="1400">
            <a:solidFill>
              <a:schemeClr val="tx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dev_Regression_Test/_02_X8_REGRESSION_TEST/X8_Regression_Test_SeriesA_FRN1_complete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estones"/>
      <sheetName val="SUMMARY"/>
      <sheetName val="FRNA1"/>
      <sheetName val="Sheet2"/>
    </sheetNames>
    <sheetDataSet>
      <sheetData sheetId="0"/>
      <sheetData sheetId="1">
        <row r="40">
          <cell r="C40">
            <v>0</v>
          </cell>
          <cell r="D40">
            <v>0</v>
          </cell>
        </row>
        <row r="41">
          <cell r="C41">
            <v>0.33333333333333331</v>
          </cell>
          <cell r="D41">
            <v>0.53</v>
          </cell>
        </row>
        <row r="42">
          <cell r="C42">
            <v>0.66666666666666663</v>
          </cell>
          <cell r="D42">
            <v>0.96</v>
          </cell>
        </row>
        <row r="43">
          <cell r="C43">
            <v>1</v>
          </cell>
          <cell r="D43">
            <v>1</v>
          </cell>
        </row>
      </sheetData>
      <sheetData sheetId="2"/>
      <sheetData sheetId="3"/>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DCD4D-9FE2-4BC3-9786-709455BEAE02}">
  <sheetPr codeName="Sheet2">
    <pageSetUpPr fitToPage="1"/>
  </sheetPr>
  <dimension ref="A1:L20"/>
  <sheetViews>
    <sheetView tabSelected="1" zoomScale="85" zoomScaleNormal="85" workbookViewId="0">
      <pane ySplit="4" topLeftCell="A15" activePane="bottomLeft" state="frozen"/>
      <selection pane="bottomLeft" activeCell="B41" sqref="B41"/>
    </sheetView>
  </sheetViews>
  <sheetFormatPr defaultColWidth="8.75" defaultRowHeight="16.5" x14ac:dyDescent="0.3"/>
  <cols>
    <col min="1" max="1" width="6.5" style="1" bestFit="1" customWidth="1"/>
    <col min="2" max="2" width="36.375" style="54" customWidth="1"/>
    <col min="3" max="3" width="13.25" style="55" bestFit="1" customWidth="1"/>
    <col min="4" max="4" width="14.125" style="1" customWidth="1"/>
    <col min="5" max="5" width="71.875" style="6" customWidth="1"/>
    <col min="6" max="6" width="86.75" style="6" customWidth="1"/>
    <col min="7" max="7" width="15.625" style="55" customWidth="1"/>
    <col min="8" max="8" width="12.125" style="55" customWidth="1"/>
    <col min="9" max="10" width="9.5" style="1" customWidth="1"/>
    <col min="11" max="11" width="12.125" style="55" customWidth="1"/>
    <col min="12" max="12" width="11.25" style="55" customWidth="1"/>
    <col min="13" max="16384" width="8.75" style="1"/>
  </cols>
  <sheetData>
    <row r="1" spans="1:12" ht="31.5" x14ac:dyDescent="0.3">
      <c r="A1" s="111" t="s">
        <v>175</v>
      </c>
      <c r="B1" s="112"/>
      <c r="C1" s="113"/>
      <c r="D1" s="114"/>
      <c r="G1" s="55" t="s">
        <v>108</v>
      </c>
      <c r="H1" s="56">
        <f>COUNTIF(H5:H8,  "미적용")</f>
        <v>0</v>
      </c>
      <c r="J1" s="1" t="s">
        <v>173</v>
      </c>
      <c r="K1" s="56">
        <f>COUNTIF(K4:K7,  "Open (적용전)")</f>
        <v>0</v>
      </c>
    </row>
    <row r="2" spans="1:12" s="44" customFormat="1" ht="31.5" x14ac:dyDescent="0.3">
      <c r="A2" s="43"/>
      <c r="B2" s="52" t="s">
        <v>132</v>
      </c>
      <c r="C2" s="86"/>
      <c r="E2" s="45"/>
      <c r="F2" s="45"/>
      <c r="G2" s="56" t="s">
        <v>109</v>
      </c>
      <c r="H2" s="56">
        <f>COUNTIF(H5:H8,  "적용")</f>
        <v>2</v>
      </c>
      <c r="J2" s="44" t="s">
        <v>172</v>
      </c>
      <c r="K2" s="56">
        <f>COUNTIF(K5:K8,  "Closed (완료)")</f>
        <v>2</v>
      </c>
      <c r="L2" s="56"/>
    </row>
    <row r="3" spans="1:12" s="44" customFormat="1" ht="40.5" customHeight="1" x14ac:dyDescent="0.3">
      <c r="B3" s="145" t="s">
        <v>176</v>
      </c>
      <c r="C3" s="145"/>
      <c r="D3" s="145"/>
      <c r="E3" s="145"/>
      <c r="F3" s="45"/>
      <c r="G3" s="56" t="s">
        <v>171</v>
      </c>
      <c r="H3" s="56">
        <f>COUNTIF(H5:H8,  "적용")+COUNTIF(H5:H8,  "미적용")</f>
        <v>2</v>
      </c>
      <c r="J3" s="44" t="s">
        <v>108</v>
      </c>
      <c r="K3" s="56">
        <f>COUNTIF(K5:K8,  "Left (미적용)")</f>
        <v>0</v>
      </c>
      <c r="L3" s="56"/>
    </row>
    <row r="4" spans="1:12" ht="60.75" x14ac:dyDescent="0.3">
      <c r="A4" s="88" t="s">
        <v>0</v>
      </c>
      <c r="B4" s="89" t="s">
        <v>174</v>
      </c>
      <c r="C4" s="88" t="s">
        <v>98</v>
      </c>
      <c r="D4" s="88" t="s">
        <v>103</v>
      </c>
      <c r="E4" s="90" t="s">
        <v>99</v>
      </c>
      <c r="F4" s="90" t="s">
        <v>100</v>
      </c>
      <c r="G4" s="88" t="s">
        <v>102</v>
      </c>
      <c r="H4" s="88" t="s">
        <v>101</v>
      </c>
      <c r="I4" s="88" t="s">
        <v>111</v>
      </c>
      <c r="J4" s="88" t="s">
        <v>112</v>
      </c>
      <c r="K4" s="90" t="s">
        <v>110</v>
      </c>
      <c r="L4" s="90" t="s">
        <v>104</v>
      </c>
    </row>
    <row r="5" spans="1:12" x14ac:dyDescent="0.3">
      <c r="A5" s="8">
        <f>ROW()-4</f>
        <v>1</v>
      </c>
      <c r="B5" s="58"/>
      <c r="C5" s="2" t="s">
        <v>105</v>
      </c>
      <c r="D5" s="2"/>
      <c r="E5" s="4"/>
      <c r="F5" s="3"/>
      <c r="G5" s="132" t="s">
        <v>131</v>
      </c>
      <c r="H5" s="57" t="s">
        <v>130</v>
      </c>
      <c r="I5" s="7">
        <v>250103</v>
      </c>
      <c r="J5" s="7">
        <v>250124</v>
      </c>
      <c r="K5" s="57" t="s">
        <v>163</v>
      </c>
      <c r="L5" s="5" t="s">
        <v>166</v>
      </c>
    </row>
    <row r="6" spans="1:12" ht="27" x14ac:dyDescent="0.3">
      <c r="A6" s="8">
        <f>ROW()-4</f>
        <v>2</v>
      </c>
      <c r="B6" s="58" t="s">
        <v>106</v>
      </c>
      <c r="C6" s="87" t="s">
        <v>107</v>
      </c>
      <c r="D6" s="46" t="s">
        <v>128</v>
      </c>
      <c r="E6" s="4"/>
      <c r="F6" s="3"/>
      <c r="G6" s="57" t="s">
        <v>129</v>
      </c>
      <c r="H6" s="57" t="s">
        <v>130</v>
      </c>
      <c r="I6" s="7">
        <v>250103</v>
      </c>
      <c r="J6" s="7">
        <v>250124</v>
      </c>
      <c r="K6" s="57" t="s">
        <v>163</v>
      </c>
      <c r="L6" s="5" t="s">
        <v>165</v>
      </c>
    </row>
    <row r="7" spans="1:12" x14ac:dyDescent="0.3">
      <c r="A7" s="8">
        <f t="shared" ref="A7:A8" si="0">ROW()-4</f>
        <v>3</v>
      </c>
      <c r="B7" s="51"/>
      <c r="C7" s="49"/>
      <c r="D7" s="49"/>
      <c r="E7" s="48"/>
      <c r="F7" s="7"/>
      <c r="G7" s="5"/>
      <c r="H7" s="5"/>
      <c r="I7" s="7"/>
      <c r="J7" s="7"/>
      <c r="K7" s="5"/>
      <c r="L7" s="5"/>
    </row>
    <row r="8" spans="1:12" x14ac:dyDescent="0.3">
      <c r="A8" s="8">
        <f t="shared" si="0"/>
        <v>4</v>
      </c>
      <c r="B8" s="53"/>
      <c r="C8" s="47"/>
      <c r="D8" s="47"/>
      <c r="E8" s="50"/>
      <c r="F8" s="7"/>
      <c r="G8" s="5"/>
      <c r="H8" s="5"/>
      <c r="I8" s="7"/>
      <c r="J8" s="7"/>
      <c r="K8" s="5"/>
      <c r="L8" s="5"/>
    </row>
    <row r="11" spans="1:12" x14ac:dyDescent="0.3">
      <c r="B11" s="54" t="s">
        <v>113</v>
      </c>
    </row>
    <row r="13" spans="1:12" x14ac:dyDescent="0.3">
      <c r="B13" s="59" t="s">
        <v>120</v>
      </c>
    </row>
    <row r="14" spans="1:12" x14ac:dyDescent="0.3">
      <c r="B14" s="59" t="s">
        <v>162</v>
      </c>
    </row>
    <row r="15" spans="1:12" x14ac:dyDescent="0.3">
      <c r="B15" s="59" t="s">
        <v>164</v>
      </c>
    </row>
    <row r="16" spans="1:12" x14ac:dyDescent="0.3">
      <c r="B16" s="59" t="s">
        <v>160</v>
      </c>
    </row>
    <row r="17" spans="2:2" x14ac:dyDescent="0.3">
      <c r="B17" s="59"/>
    </row>
    <row r="18" spans="2:2" x14ac:dyDescent="0.3">
      <c r="B18" s="59" t="s">
        <v>102</v>
      </c>
    </row>
    <row r="19" spans="2:2" x14ac:dyDescent="0.3">
      <c r="B19" s="59" t="s">
        <v>109</v>
      </c>
    </row>
    <row r="20" spans="2:2" x14ac:dyDescent="0.3">
      <c r="B20" s="59" t="s">
        <v>108</v>
      </c>
    </row>
  </sheetData>
  <autoFilter ref="G4:L4" xr:uid="{EA2DCD4D-9FE2-4BC3-9786-709455BEAE02}"/>
  <mergeCells count="1">
    <mergeCell ref="B3:E3"/>
  </mergeCells>
  <phoneticPr fontId="1" type="noConversion"/>
  <conditionalFormatting sqref="H5:H8">
    <cfRule type="cellIs" dxfId="5" priority="15" operator="equal">
      <formula>"미적용"</formula>
    </cfRule>
    <cfRule type="cellIs" dxfId="4" priority="16" operator="equal">
      <formula>"적용"</formula>
    </cfRule>
  </conditionalFormatting>
  <conditionalFormatting sqref="K5:K8">
    <cfRule type="cellIs" dxfId="3" priority="12" operator="equal">
      <formula>"Left (미적용)"</formula>
    </cfRule>
    <cfRule type="cellIs" dxfId="2" priority="13" operator="equal">
      <formula>"Open (적용전)"</formula>
    </cfRule>
    <cfRule type="cellIs" dxfId="1" priority="14" operator="equal">
      <formula>"Closed (완료)"</formula>
    </cfRule>
  </conditionalFormatting>
  <conditionalFormatting sqref="C1:F1048576">
    <cfRule type="expression" dxfId="0" priority="5">
      <formula>CELL("ROW")=ROW()</formula>
    </cfRule>
  </conditionalFormatting>
  <pageMargins left="0.7" right="0.7" top="0.75" bottom="0.75" header="0.3" footer="0.3"/>
  <pageSetup paperSize="9" scale="40" fitToHeight="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1482681-062C-406C-95D2-0053766BF34F}">
          <x14:formula1>
            <xm:f>Summary!$Q$3:$Q$5</xm:f>
          </x14:formula1>
          <xm:sqref>K5:K8</xm:sqref>
        </x14:dataValidation>
        <x14:dataValidation type="list" allowBlank="1" showInputMessage="1" showErrorMessage="1" xr:uid="{8029B8FE-9B9F-4891-BD5E-1386FDBA2D85}">
          <x14:formula1>
            <xm:f>Summary!$Q$8:$Q$9</xm:f>
          </x14:formula1>
          <xm:sqref>H5:H8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9D332-D699-4B43-9AE3-7A3BEDF8F115}">
  <sheetPr codeName="Sheet3"/>
  <dimension ref="A1:Q66"/>
  <sheetViews>
    <sheetView showGridLines="0" workbookViewId="0">
      <selection activeCell="Q2" sqref="Q2:Q9"/>
    </sheetView>
  </sheetViews>
  <sheetFormatPr defaultRowHeight="16.5" x14ac:dyDescent="0.3"/>
  <cols>
    <col min="1" max="1" width="9" style="59"/>
    <col min="2" max="2" width="33.5" style="59" bestFit="1" customWidth="1"/>
    <col min="3" max="3" width="10.5" style="59" customWidth="1"/>
    <col min="4" max="4" width="10.875" style="73" customWidth="1"/>
    <col min="5" max="257" width="9" style="59"/>
    <col min="258" max="258" width="33.5" style="59" bestFit="1" customWidth="1"/>
    <col min="259" max="259" width="10.5" style="59" customWidth="1"/>
    <col min="260" max="260" width="9.75" style="59" bestFit="1" customWidth="1"/>
    <col min="261" max="513" width="9" style="59"/>
    <col min="514" max="514" width="33.5" style="59" bestFit="1" customWidth="1"/>
    <col min="515" max="515" width="10.5" style="59" customWidth="1"/>
    <col min="516" max="516" width="9.75" style="59" bestFit="1" customWidth="1"/>
    <col min="517" max="769" width="9" style="59"/>
    <col min="770" max="770" width="33.5" style="59" bestFit="1" customWidth="1"/>
    <col min="771" max="771" width="10.5" style="59" customWidth="1"/>
    <col min="772" max="772" width="9.75" style="59" bestFit="1" customWidth="1"/>
    <col min="773" max="1025" width="9" style="59"/>
    <col min="1026" max="1026" width="33.5" style="59" bestFit="1" customWidth="1"/>
    <col min="1027" max="1027" width="10.5" style="59" customWidth="1"/>
    <col min="1028" max="1028" width="9.75" style="59" bestFit="1" customWidth="1"/>
    <col min="1029" max="1281" width="9" style="59"/>
    <col min="1282" max="1282" width="33.5" style="59" bestFit="1" customWidth="1"/>
    <col min="1283" max="1283" width="10.5" style="59" customWidth="1"/>
    <col min="1284" max="1284" width="9.75" style="59" bestFit="1" customWidth="1"/>
    <col min="1285" max="1537" width="9" style="59"/>
    <col min="1538" max="1538" width="33.5" style="59" bestFit="1" customWidth="1"/>
    <col min="1539" max="1539" width="10.5" style="59" customWidth="1"/>
    <col min="1540" max="1540" width="9.75" style="59" bestFit="1" customWidth="1"/>
    <col min="1541" max="1793" width="9" style="59"/>
    <col min="1794" max="1794" width="33.5" style="59" bestFit="1" customWidth="1"/>
    <col min="1795" max="1795" width="10.5" style="59" customWidth="1"/>
    <col min="1796" max="1796" width="9.75" style="59" bestFit="1" customWidth="1"/>
    <col min="1797" max="2049" width="9" style="59"/>
    <col min="2050" max="2050" width="33.5" style="59" bestFit="1" customWidth="1"/>
    <col min="2051" max="2051" width="10.5" style="59" customWidth="1"/>
    <col min="2052" max="2052" width="9.75" style="59" bestFit="1" customWidth="1"/>
    <col min="2053" max="2305" width="9" style="59"/>
    <col min="2306" max="2306" width="33.5" style="59" bestFit="1" customWidth="1"/>
    <col min="2307" max="2307" width="10.5" style="59" customWidth="1"/>
    <col min="2308" max="2308" width="9.75" style="59" bestFit="1" customWidth="1"/>
    <col min="2309" max="2561" width="9" style="59"/>
    <col min="2562" max="2562" width="33.5" style="59" bestFit="1" customWidth="1"/>
    <col min="2563" max="2563" width="10.5" style="59" customWidth="1"/>
    <col min="2564" max="2564" width="9.75" style="59" bestFit="1" customWidth="1"/>
    <col min="2565" max="2817" width="9" style="59"/>
    <col min="2818" max="2818" width="33.5" style="59" bestFit="1" customWidth="1"/>
    <col min="2819" max="2819" width="10.5" style="59" customWidth="1"/>
    <col min="2820" max="2820" width="9.75" style="59" bestFit="1" customWidth="1"/>
    <col min="2821" max="3073" width="9" style="59"/>
    <col min="3074" max="3074" width="33.5" style="59" bestFit="1" customWidth="1"/>
    <col min="3075" max="3075" width="10.5" style="59" customWidth="1"/>
    <col min="3076" max="3076" width="9.75" style="59" bestFit="1" customWidth="1"/>
    <col min="3077" max="3329" width="9" style="59"/>
    <col min="3330" max="3330" width="33.5" style="59" bestFit="1" customWidth="1"/>
    <col min="3331" max="3331" width="10.5" style="59" customWidth="1"/>
    <col min="3332" max="3332" width="9.75" style="59" bestFit="1" customWidth="1"/>
    <col min="3333" max="3585" width="9" style="59"/>
    <col min="3586" max="3586" width="33.5" style="59" bestFit="1" customWidth="1"/>
    <col min="3587" max="3587" width="10.5" style="59" customWidth="1"/>
    <col min="3588" max="3588" width="9.75" style="59" bestFit="1" customWidth="1"/>
    <col min="3589" max="3841" width="9" style="59"/>
    <col min="3842" max="3842" width="33.5" style="59" bestFit="1" customWidth="1"/>
    <col min="3843" max="3843" width="10.5" style="59" customWidth="1"/>
    <col min="3844" max="3844" width="9.75" style="59" bestFit="1" customWidth="1"/>
    <col min="3845" max="4097" width="9" style="59"/>
    <col min="4098" max="4098" width="33.5" style="59" bestFit="1" customWidth="1"/>
    <col min="4099" max="4099" width="10.5" style="59" customWidth="1"/>
    <col min="4100" max="4100" width="9.75" style="59" bestFit="1" customWidth="1"/>
    <col min="4101" max="4353" width="9" style="59"/>
    <col min="4354" max="4354" width="33.5" style="59" bestFit="1" customWidth="1"/>
    <col min="4355" max="4355" width="10.5" style="59" customWidth="1"/>
    <col min="4356" max="4356" width="9.75" style="59" bestFit="1" customWidth="1"/>
    <col min="4357" max="4609" width="9" style="59"/>
    <col min="4610" max="4610" width="33.5" style="59" bestFit="1" customWidth="1"/>
    <col min="4611" max="4611" width="10.5" style="59" customWidth="1"/>
    <col min="4612" max="4612" width="9.75" style="59" bestFit="1" customWidth="1"/>
    <col min="4613" max="4865" width="9" style="59"/>
    <col min="4866" max="4866" width="33.5" style="59" bestFit="1" customWidth="1"/>
    <col min="4867" max="4867" width="10.5" style="59" customWidth="1"/>
    <col min="4868" max="4868" width="9.75" style="59" bestFit="1" customWidth="1"/>
    <col min="4869" max="5121" width="9" style="59"/>
    <col min="5122" max="5122" width="33.5" style="59" bestFit="1" customWidth="1"/>
    <col min="5123" max="5123" width="10.5" style="59" customWidth="1"/>
    <col min="5124" max="5124" width="9.75" style="59" bestFit="1" customWidth="1"/>
    <col min="5125" max="5377" width="9" style="59"/>
    <col min="5378" max="5378" width="33.5" style="59" bestFit="1" customWidth="1"/>
    <col min="5379" max="5379" width="10.5" style="59" customWidth="1"/>
    <col min="5380" max="5380" width="9.75" style="59" bestFit="1" customWidth="1"/>
    <col min="5381" max="5633" width="9" style="59"/>
    <col min="5634" max="5634" width="33.5" style="59" bestFit="1" customWidth="1"/>
    <col min="5635" max="5635" width="10.5" style="59" customWidth="1"/>
    <col min="5636" max="5636" width="9.75" style="59" bestFit="1" customWidth="1"/>
    <col min="5637" max="5889" width="9" style="59"/>
    <col min="5890" max="5890" width="33.5" style="59" bestFit="1" customWidth="1"/>
    <col min="5891" max="5891" width="10.5" style="59" customWidth="1"/>
    <col min="5892" max="5892" width="9.75" style="59" bestFit="1" customWidth="1"/>
    <col min="5893" max="6145" width="9" style="59"/>
    <col min="6146" max="6146" width="33.5" style="59" bestFit="1" customWidth="1"/>
    <col min="6147" max="6147" width="10.5" style="59" customWidth="1"/>
    <col min="6148" max="6148" width="9.75" style="59" bestFit="1" customWidth="1"/>
    <col min="6149" max="6401" width="9" style="59"/>
    <col min="6402" max="6402" width="33.5" style="59" bestFit="1" customWidth="1"/>
    <col min="6403" max="6403" width="10.5" style="59" customWidth="1"/>
    <col min="6404" max="6404" width="9.75" style="59" bestFit="1" customWidth="1"/>
    <col min="6405" max="6657" width="9" style="59"/>
    <col min="6658" max="6658" width="33.5" style="59" bestFit="1" customWidth="1"/>
    <col min="6659" max="6659" width="10.5" style="59" customWidth="1"/>
    <col min="6660" max="6660" width="9.75" style="59" bestFit="1" customWidth="1"/>
    <col min="6661" max="6913" width="9" style="59"/>
    <col min="6914" max="6914" width="33.5" style="59" bestFit="1" customWidth="1"/>
    <col min="6915" max="6915" width="10.5" style="59" customWidth="1"/>
    <col min="6916" max="6916" width="9.75" style="59" bestFit="1" customWidth="1"/>
    <col min="6917" max="7169" width="9" style="59"/>
    <col min="7170" max="7170" width="33.5" style="59" bestFit="1" customWidth="1"/>
    <col min="7171" max="7171" width="10.5" style="59" customWidth="1"/>
    <col min="7172" max="7172" width="9.75" style="59" bestFit="1" customWidth="1"/>
    <col min="7173" max="7425" width="9" style="59"/>
    <col min="7426" max="7426" width="33.5" style="59" bestFit="1" customWidth="1"/>
    <col min="7427" max="7427" width="10.5" style="59" customWidth="1"/>
    <col min="7428" max="7428" width="9.75" style="59" bestFit="1" customWidth="1"/>
    <col min="7429" max="7681" width="9" style="59"/>
    <col min="7682" max="7682" width="33.5" style="59" bestFit="1" customWidth="1"/>
    <col min="7683" max="7683" width="10.5" style="59" customWidth="1"/>
    <col min="7684" max="7684" width="9.75" style="59" bestFit="1" customWidth="1"/>
    <col min="7685" max="7937" width="9" style="59"/>
    <col min="7938" max="7938" width="33.5" style="59" bestFit="1" customWidth="1"/>
    <col min="7939" max="7939" width="10.5" style="59" customWidth="1"/>
    <col min="7940" max="7940" width="9.75" style="59" bestFit="1" customWidth="1"/>
    <col min="7941" max="8193" width="9" style="59"/>
    <col min="8194" max="8194" width="33.5" style="59" bestFit="1" customWidth="1"/>
    <col min="8195" max="8195" width="10.5" style="59" customWidth="1"/>
    <col min="8196" max="8196" width="9.75" style="59" bestFit="1" customWidth="1"/>
    <col min="8197" max="8449" width="9" style="59"/>
    <col min="8450" max="8450" width="33.5" style="59" bestFit="1" customWidth="1"/>
    <col min="8451" max="8451" width="10.5" style="59" customWidth="1"/>
    <col min="8452" max="8452" width="9.75" style="59" bestFit="1" customWidth="1"/>
    <col min="8453" max="8705" width="9" style="59"/>
    <col min="8706" max="8706" width="33.5" style="59" bestFit="1" customWidth="1"/>
    <col min="8707" max="8707" width="10.5" style="59" customWidth="1"/>
    <col min="8708" max="8708" width="9.75" style="59" bestFit="1" customWidth="1"/>
    <col min="8709" max="8961" width="9" style="59"/>
    <col min="8962" max="8962" width="33.5" style="59" bestFit="1" customWidth="1"/>
    <col min="8963" max="8963" width="10.5" style="59" customWidth="1"/>
    <col min="8964" max="8964" width="9.75" style="59" bestFit="1" customWidth="1"/>
    <col min="8965" max="9217" width="9" style="59"/>
    <col min="9218" max="9218" width="33.5" style="59" bestFit="1" customWidth="1"/>
    <col min="9219" max="9219" width="10.5" style="59" customWidth="1"/>
    <col min="9220" max="9220" width="9.75" style="59" bestFit="1" customWidth="1"/>
    <col min="9221" max="9473" width="9" style="59"/>
    <col min="9474" max="9474" width="33.5" style="59" bestFit="1" customWidth="1"/>
    <col min="9475" max="9475" width="10.5" style="59" customWidth="1"/>
    <col min="9476" max="9476" width="9.75" style="59" bestFit="1" customWidth="1"/>
    <col min="9477" max="9729" width="9" style="59"/>
    <col min="9730" max="9730" width="33.5" style="59" bestFit="1" customWidth="1"/>
    <col min="9731" max="9731" width="10.5" style="59" customWidth="1"/>
    <col min="9732" max="9732" width="9.75" style="59" bestFit="1" customWidth="1"/>
    <col min="9733" max="9985" width="9" style="59"/>
    <col min="9986" max="9986" width="33.5" style="59" bestFit="1" customWidth="1"/>
    <col min="9987" max="9987" width="10.5" style="59" customWidth="1"/>
    <col min="9988" max="9988" width="9.75" style="59" bestFit="1" customWidth="1"/>
    <col min="9989" max="10241" width="9" style="59"/>
    <col min="10242" max="10242" width="33.5" style="59" bestFit="1" customWidth="1"/>
    <col min="10243" max="10243" width="10.5" style="59" customWidth="1"/>
    <col min="10244" max="10244" width="9.75" style="59" bestFit="1" customWidth="1"/>
    <col min="10245" max="10497" width="9" style="59"/>
    <col min="10498" max="10498" width="33.5" style="59" bestFit="1" customWidth="1"/>
    <col min="10499" max="10499" width="10.5" style="59" customWidth="1"/>
    <col min="10500" max="10500" width="9.75" style="59" bestFit="1" customWidth="1"/>
    <col min="10501" max="10753" width="9" style="59"/>
    <col min="10754" max="10754" width="33.5" style="59" bestFit="1" customWidth="1"/>
    <col min="10755" max="10755" width="10.5" style="59" customWidth="1"/>
    <col min="10756" max="10756" width="9.75" style="59" bestFit="1" customWidth="1"/>
    <col min="10757" max="11009" width="9" style="59"/>
    <col min="11010" max="11010" width="33.5" style="59" bestFit="1" customWidth="1"/>
    <col min="11011" max="11011" width="10.5" style="59" customWidth="1"/>
    <col min="11012" max="11012" width="9.75" style="59" bestFit="1" customWidth="1"/>
    <col min="11013" max="11265" width="9" style="59"/>
    <col min="11266" max="11266" width="33.5" style="59" bestFit="1" customWidth="1"/>
    <col min="11267" max="11267" width="10.5" style="59" customWidth="1"/>
    <col min="11268" max="11268" width="9.75" style="59" bestFit="1" customWidth="1"/>
    <col min="11269" max="11521" width="9" style="59"/>
    <col min="11522" max="11522" width="33.5" style="59" bestFit="1" customWidth="1"/>
    <col min="11523" max="11523" width="10.5" style="59" customWidth="1"/>
    <col min="11524" max="11524" width="9.75" style="59" bestFit="1" customWidth="1"/>
    <col min="11525" max="11777" width="9" style="59"/>
    <col min="11778" max="11778" width="33.5" style="59" bestFit="1" customWidth="1"/>
    <col min="11779" max="11779" width="10.5" style="59" customWidth="1"/>
    <col min="11780" max="11780" width="9.75" style="59" bestFit="1" customWidth="1"/>
    <col min="11781" max="12033" width="9" style="59"/>
    <col min="12034" max="12034" width="33.5" style="59" bestFit="1" customWidth="1"/>
    <col min="12035" max="12035" width="10.5" style="59" customWidth="1"/>
    <col min="12036" max="12036" width="9.75" style="59" bestFit="1" customWidth="1"/>
    <col min="12037" max="12289" width="9" style="59"/>
    <col min="12290" max="12290" width="33.5" style="59" bestFit="1" customWidth="1"/>
    <col min="12291" max="12291" width="10.5" style="59" customWidth="1"/>
    <col min="12292" max="12292" width="9.75" style="59" bestFit="1" customWidth="1"/>
    <col min="12293" max="12545" width="9" style="59"/>
    <col min="12546" max="12546" width="33.5" style="59" bestFit="1" customWidth="1"/>
    <col min="12547" max="12547" width="10.5" style="59" customWidth="1"/>
    <col min="12548" max="12548" width="9.75" style="59" bestFit="1" customWidth="1"/>
    <col min="12549" max="12801" width="9" style="59"/>
    <col min="12802" max="12802" width="33.5" style="59" bestFit="1" customWidth="1"/>
    <col min="12803" max="12803" width="10.5" style="59" customWidth="1"/>
    <col min="12804" max="12804" width="9.75" style="59" bestFit="1" customWidth="1"/>
    <col min="12805" max="13057" width="9" style="59"/>
    <col min="13058" max="13058" width="33.5" style="59" bestFit="1" customWidth="1"/>
    <col min="13059" max="13059" width="10.5" style="59" customWidth="1"/>
    <col min="13060" max="13060" width="9.75" style="59" bestFit="1" customWidth="1"/>
    <col min="13061" max="13313" width="9" style="59"/>
    <col min="13314" max="13314" width="33.5" style="59" bestFit="1" customWidth="1"/>
    <col min="13315" max="13315" width="10.5" style="59" customWidth="1"/>
    <col min="13316" max="13316" width="9.75" style="59" bestFit="1" customWidth="1"/>
    <col min="13317" max="13569" width="9" style="59"/>
    <col min="13570" max="13570" width="33.5" style="59" bestFit="1" customWidth="1"/>
    <col min="13571" max="13571" width="10.5" style="59" customWidth="1"/>
    <col min="13572" max="13572" width="9.75" style="59" bestFit="1" customWidth="1"/>
    <col min="13573" max="13825" width="9" style="59"/>
    <col min="13826" max="13826" width="33.5" style="59" bestFit="1" customWidth="1"/>
    <col min="13827" max="13827" width="10.5" style="59" customWidth="1"/>
    <col min="13828" max="13828" width="9.75" style="59" bestFit="1" customWidth="1"/>
    <col min="13829" max="14081" width="9" style="59"/>
    <col min="14082" max="14082" width="33.5" style="59" bestFit="1" customWidth="1"/>
    <col min="14083" max="14083" width="10.5" style="59" customWidth="1"/>
    <col min="14084" max="14084" width="9.75" style="59" bestFit="1" customWidth="1"/>
    <col min="14085" max="14337" width="9" style="59"/>
    <col min="14338" max="14338" width="33.5" style="59" bestFit="1" customWidth="1"/>
    <col min="14339" max="14339" width="10.5" style="59" customWidth="1"/>
    <col min="14340" max="14340" width="9.75" style="59" bestFit="1" customWidth="1"/>
    <col min="14341" max="14593" width="9" style="59"/>
    <col min="14594" max="14594" width="33.5" style="59" bestFit="1" customWidth="1"/>
    <col min="14595" max="14595" width="10.5" style="59" customWidth="1"/>
    <col min="14596" max="14596" width="9.75" style="59" bestFit="1" customWidth="1"/>
    <col min="14597" max="14849" width="9" style="59"/>
    <col min="14850" max="14850" width="33.5" style="59" bestFit="1" customWidth="1"/>
    <col min="14851" max="14851" width="10.5" style="59" customWidth="1"/>
    <col min="14852" max="14852" width="9.75" style="59" bestFit="1" customWidth="1"/>
    <col min="14853" max="15105" width="9" style="59"/>
    <col min="15106" max="15106" width="33.5" style="59" bestFit="1" customWidth="1"/>
    <col min="15107" max="15107" width="10.5" style="59" customWidth="1"/>
    <col min="15108" max="15108" width="9.75" style="59" bestFit="1" customWidth="1"/>
    <col min="15109" max="15361" width="9" style="59"/>
    <col min="15362" max="15362" width="33.5" style="59" bestFit="1" customWidth="1"/>
    <col min="15363" max="15363" width="10.5" style="59" customWidth="1"/>
    <col min="15364" max="15364" width="9.75" style="59" bestFit="1" customWidth="1"/>
    <col min="15365" max="15617" width="9" style="59"/>
    <col min="15618" max="15618" width="33.5" style="59" bestFit="1" customWidth="1"/>
    <col min="15619" max="15619" width="10.5" style="59" customWidth="1"/>
    <col min="15620" max="15620" width="9.75" style="59" bestFit="1" customWidth="1"/>
    <col min="15621" max="15873" width="9" style="59"/>
    <col min="15874" max="15874" width="33.5" style="59" bestFit="1" customWidth="1"/>
    <col min="15875" max="15875" width="10.5" style="59" customWidth="1"/>
    <col min="15876" max="15876" width="9.75" style="59" bestFit="1" customWidth="1"/>
    <col min="15877" max="16129" width="9" style="59"/>
    <col min="16130" max="16130" width="33.5" style="59" bestFit="1" customWidth="1"/>
    <col min="16131" max="16131" width="10.5" style="59" customWidth="1"/>
    <col min="16132" max="16132" width="9.75" style="59" bestFit="1" customWidth="1"/>
    <col min="16133" max="16384" width="9" style="59"/>
  </cols>
  <sheetData>
    <row r="1" spans="2:17" ht="26.25" x14ac:dyDescent="0.45">
      <c r="B1" s="133" t="s">
        <v>133</v>
      </c>
      <c r="C1" s="134"/>
      <c r="D1" s="134"/>
    </row>
    <row r="2" spans="2:17" ht="17.25" thickBot="1" x14ac:dyDescent="0.35">
      <c r="D2" s="124"/>
      <c r="Q2" s="59" t="s">
        <v>120</v>
      </c>
    </row>
    <row r="3" spans="2:17" ht="19.5" thickBot="1" x14ac:dyDescent="0.35">
      <c r="B3" s="60" t="s">
        <v>118</v>
      </c>
      <c r="C3" s="61" t="s">
        <v>114</v>
      </c>
      <c r="D3" s="125" t="s">
        <v>115</v>
      </c>
      <c r="Q3" s="59" t="s">
        <v>162</v>
      </c>
    </row>
    <row r="4" spans="2:17" x14ac:dyDescent="0.3">
      <c r="B4" s="62" t="s">
        <v>161</v>
      </c>
      <c r="C4" s="63">
        <f>COUNTIF('동시이동 FW 상세 변경내용'!K5:K8, "Open (적용전)")</f>
        <v>0</v>
      </c>
      <c r="D4" s="126">
        <f>(C4/C7)</f>
        <v>0</v>
      </c>
      <c r="Q4" s="59" t="s">
        <v>164</v>
      </c>
    </row>
    <row r="5" spans="2:17" x14ac:dyDescent="0.3">
      <c r="B5" s="64" t="s">
        <v>167</v>
      </c>
      <c r="C5" s="65">
        <f>COUNTIF('동시이동 FW 상세 변경내용'!K5:K8, "Closed (완료)")</f>
        <v>2</v>
      </c>
      <c r="D5" s="127">
        <f>C5/C7</f>
        <v>1</v>
      </c>
      <c r="Q5" s="59" t="s">
        <v>160</v>
      </c>
    </row>
    <row r="6" spans="2:17" x14ac:dyDescent="0.3">
      <c r="B6" s="66" t="s">
        <v>159</v>
      </c>
      <c r="C6" s="67">
        <f>COUNTIF('동시이동 FW 상세 변경내용'!K5:K8, "Left (미적용)")</f>
        <v>0</v>
      </c>
      <c r="D6" s="128">
        <f>((C4+C5+C6)/(C6+C7))</f>
        <v>1</v>
      </c>
    </row>
    <row r="7" spans="2:17" ht="17.25" thickBot="1" x14ac:dyDescent="0.35">
      <c r="B7" s="68" t="s">
        <v>119</v>
      </c>
      <c r="C7" s="69">
        <f>COUNTIF('동시이동 FW 상세 변경내용'!H5:H8, "적용")</f>
        <v>2</v>
      </c>
      <c r="D7" s="129">
        <f>SUM(D4:D5)</f>
        <v>1</v>
      </c>
      <c r="Q7" s="59" t="s">
        <v>102</v>
      </c>
    </row>
    <row r="8" spans="2:17" x14ac:dyDescent="0.3">
      <c r="B8" s="70" t="s">
        <v>116</v>
      </c>
      <c r="Q8" s="59" t="s">
        <v>109</v>
      </c>
    </row>
    <row r="9" spans="2:17" x14ac:dyDescent="0.3">
      <c r="B9" s="59" t="s">
        <v>158</v>
      </c>
      <c r="C9" s="115">
        <f>SUM(C4:C6)</f>
        <v>2</v>
      </c>
      <c r="Q9" s="59" t="s">
        <v>108</v>
      </c>
    </row>
    <row r="13" spans="2:17" x14ac:dyDescent="0.3">
      <c r="B13" s="70"/>
    </row>
    <row r="21" spans="1:4" x14ac:dyDescent="0.3">
      <c r="B21" s="71" t="s">
        <v>121</v>
      </c>
    </row>
    <row r="22" spans="1:4" x14ac:dyDescent="0.3">
      <c r="A22" s="71" t="s">
        <v>122</v>
      </c>
      <c r="B22" s="59">
        <v>3</v>
      </c>
    </row>
    <row r="24" spans="1:4" ht="33.75" thickBot="1" x14ac:dyDescent="0.35">
      <c r="A24" s="75" t="s">
        <v>123</v>
      </c>
      <c r="B24" s="75" t="s">
        <v>124</v>
      </c>
      <c r="C24" s="76" t="s">
        <v>125</v>
      </c>
      <c r="D24" s="130" t="s">
        <v>126</v>
      </c>
    </row>
    <row r="25" spans="1:4" ht="17.25" thickTop="1" x14ac:dyDescent="0.3">
      <c r="A25" s="77" t="s">
        <v>127</v>
      </c>
      <c r="B25" s="78">
        <v>45638</v>
      </c>
      <c r="C25" s="79">
        <v>0</v>
      </c>
      <c r="D25" s="131">
        <v>0</v>
      </c>
    </row>
    <row r="26" spans="1:4" x14ac:dyDescent="0.3">
      <c r="A26" s="80">
        <v>1</v>
      </c>
      <c r="B26" s="78">
        <f>B25+(A26*7)</f>
        <v>45645</v>
      </c>
      <c r="C26" s="81">
        <f>1/$B$38*COUNT($A$26)</f>
        <v>9.0909090909090912E-2</v>
      </c>
      <c r="D26" s="82">
        <v>0.4</v>
      </c>
    </row>
    <row r="27" spans="1:4" x14ac:dyDescent="0.3">
      <c r="A27" s="80">
        <v>1</v>
      </c>
      <c r="B27" s="78">
        <f>B26+(A26*7)</f>
        <v>45652</v>
      </c>
      <c r="C27" s="81">
        <f>1/$B$38*COUNT($A$26:A27)</f>
        <v>0.18181818181818182</v>
      </c>
      <c r="D27" s="81">
        <v>0.5</v>
      </c>
    </row>
    <row r="28" spans="1:4" x14ac:dyDescent="0.3">
      <c r="A28" s="80">
        <v>1</v>
      </c>
      <c r="B28" s="78">
        <f>B27+(A26*7)</f>
        <v>45659</v>
      </c>
      <c r="C28" s="81">
        <f>1/$B$38*COUNT($A$26:A28)</f>
        <v>0.27272727272727271</v>
      </c>
      <c r="D28" s="81">
        <v>0.6</v>
      </c>
    </row>
    <row r="29" spans="1:4" x14ac:dyDescent="0.3">
      <c r="A29" s="80">
        <v>1</v>
      </c>
      <c r="B29" s="78">
        <f t="shared" ref="B29" si="0">B28+(A28*7)</f>
        <v>45666</v>
      </c>
      <c r="C29" s="81">
        <f>1/$B$38*COUNT($A$26:A29)</f>
        <v>0.36363636363636365</v>
      </c>
      <c r="D29" s="81"/>
    </row>
    <row r="30" spans="1:4" x14ac:dyDescent="0.3">
      <c r="A30" s="80">
        <v>1</v>
      </c>
      <c r="B30" s="78">
        <f t="shared" ref="B30" si="1">B29+(A28*7)</f>
        <v>45673</v>
      </c>
      <c r="C30" s="81">
        <f>1/$B$38*COUNT($A$26:A30)</f>
        <v>0.45454545454545459</v>
      </c>
      <c r="D30" s="81"/>
    </row>
    <row r="31" spans="1:4" x14ac:dyDescent="0.3">
      <c r="A31" s="80">
        <v>1</v>
      </c>
      <c r="B31" s="78">
        <f t="shared" ref="B31" si="2">B30+(A30*7)</f>
        <v>45680</v>
      </c>
      <c r="C31" s="81">
        <f>1/$B$38*COUNT($A$26:A31)</f>
        <v>0.54545454545454541</v>
      </c>
      <c r="D31" s="81"/>
    </row>
    <row r="32" spans="1:4" x14ac:dyDescent="0.3">
      <c r="A32" s="80">
        <v>1</v>
      </c>
      <c r="B32" s="78">
        <f t="shared" ref="B32" si="3">B31+(A30*7)</f>
        <v>45687</v>
      </c>
      <c r="C32" s="81">
        <f>1/$B$38*COUNT($A$26:A32)</f>
        <v>0.63636363636363635</v>
      </c>
      <c r="D32" s="81"/>
    </row>
    <row r="33" spans="1:4" x14ac:dyDescent="0.3">
      <c r="A33" s="80">
        <v>1</v>
      </c>
      <c r="B33" s="78">
        <f t="shared" ref="B33" si="4">B32+(A32*7)</f>
        <v>45694</v>
      </c>
      <c r="C33" s="81">
        <f>1/$B$38*COUNT($A$26:A33)</f>
        <v>0.72727272727272729</v>
      </c>
      <c r="D33" s="81"/>
    </row>
    <row r="34" spans="1:4" x14ac:dyDescent="0.3">
      <c r="A34" s="80">
        <v>1</v>
      </c>
      <c r="B34" s="78">
        <f t="shared" ref="B34:B36" si="5">B33+(A32*7)</f>
        <v>45701</v>
      </c>
      <c r="C34" s="81">
        <f>1/$B$38*COUNT($A$26:A34)</f>
        <v>0.81818181818181823</v>
      </c>
      <c r="D34" s="81"/>
    </row>
    <row r="35" spans="1:4" x14ac:dyDescent="0.3">
      <c r="A35" s="80">
        <v>1</v>
      </c>
      <c r="B35" s="78">
        <f t="shared" ref="B35" si="6">B34+(A34*7)</f>
        <v>45708</v>
      </c>
      <c r="C35" s="81">
        <f>1/$B$38*COUNT($A$26:A35)</f>
        <v>0.90909090909090917</v>
      </c>
      <c r="D35" s="81"/>
    </row>
    <row r="36" spans="1:4" ht="17.25" thickBot="1" x14ac:dyDescent="0.35">
      <c r="A36" s="83">
        <v>1</v>
      </c>
      <c r="B36" s="84">
        <f t="shared" si="5"/>
        <v>45715</v>
      </c>
      <c r="C36" s="85">
        <f>1/$B$38*COUNT($A$26:A36)</f>
        <v>1</v>
      </c>
      <c r="D36" s="85"/>
    </row>
    <row r="37" spans="1:4" ht="17.25" thickTop="1" x14ac:dyDescent="0.3">
      <c r="B37" s="72"/>
      <c r="C37" s="73"/>
    </row>
    <row r="38" spans="1:4" x14ac:dyDescent="0.3">
      <c r="A38" s="59" t="s">
        <v>122</v>
      </c>
      <c r="B38" s="59">
        <f>COUNT(A26:A36)</f>
        <v>11</v>
      </c>
      <c r="C38" s="73"/>
    </row>
    <row r="39" spans="1:4" x14ac:dyDescent="0.3">
      <c r="B39" s="72"/>
      <c r="C39" s="73"/>
    </row>
    <row r="40" spans="1:4" x14ac:dyDescent="0.3">
      <c r="B40" s="72"/>
      <c r="C40" s="73"/>
    </row>
    <row r="41" spans="1:4" x14ac:dyDescent="0.3">
      <c r="B41" s="72"/>
      <c r="C41" s="73"/>
    </row>
    <row r="42" spans="1:4" x14ac:dyDescent="0.3">
      <c r="B42" s="72"/>
      <c r="C42" s="73"/>
    </row>
    <row r="43" spans="1:4" x14ac:dyDescent="0.3">
      <c r="B43" s="72"/>
      <c r="C43" s="73"/>
    </row>
    <row r="44" spans="1:4" x14ac:dyDescent="0.3">
      <c r="B44" s="72"/>
      <c r="C44" s="73"/>
    </row>
    <row r="45" spans="1:4" x14ac:dyDescent="0.3">
      <c r="B45" s="72"/>
      <c r="C45" s="73"/>
    </row>
    <row r="46" spans="1:4" x14ac:dyDescent="0.3">
      <c r="B46" s="72"/>
      <c r="C46" s="73"/>
    </row>
    <row r="47" spans="1:4" x14ac:dyDescent="0.3">
      <c r="B47" s="72"/>
      <c r="C47" s="73"/>
    </row>
    <row r="48" spans="1:4" x14ac:dyDescent="0.3">
      <c r="B48" s="72"/>
      <c r="C48" s="73"/>
    </row>
    <row r="49" spans="2:5" x14ac:dyDescent="0.3">
      <c r="B49" s="72"/>
      <c r="C49" s="73"/>
    </row>
    <row r="50" spans="2:5" x14ac:dyDescent="0.3">
      <c r="B50" s="72"/>
      <c r="C50" s="73"/>
    </row>
    <row r="51" spans="2:5" x14ac:dyDescent="0.3">
      <c r="B51" s="72"/>
      <c r="C51" s="73"/>
      <c r="E51" s="74"/>
    </row>
    <row r="52" spans="2:5" x14ac:dyDescent="0.3">
      <c r="B52" s="72"/>
      <c r="C52" s="73"/>
    </row>
    <row r="53" spans="2:5" x14ac:dyDescent="0.3">
      <c r="B53" s="72"/>
      <c r="C53" s="73"/>
    </row>
    <row r="54" spans="2:5" x14ac:dyDescent="0.3">
      <c r="B54" s="72"/>
      <c r="C54" s="73"/>
    </row>
    <row r="55" spans="2:5" x14ac:dyDescent="0.3">
      <c r="B55" s="72"/>
      <c r="C55" s="73"/>
    </row>
    <row r="56" spans="2:5" x14ac:dyDescent="0.3">
      <c r="B56" s="72"/>
      <c r="C56" s="73"/>
    </row>
    <row r="57" spans="2:5" x14ac:dyDescent="0.3">
      <c r="B57" s="72"/>
      <c r="C57" s="73"/>
    </row>
    <row r="58" spans="2:5" x14ac:dyDescent="0.3">
      <c r="B58" s="72"/>
      <c r="C58" s="73"/>
    </row>
    <row r="59" spans="2:5" x14ac:dyDescent="0.3">
      <c r="B59" s="72"/>
      <c r="C59" s="73"/>
    </row>
    <row r="60" spans="2:5" x14ac:dyDescent="0.3">
      <c r="B60" s="72"/>
      <c r="C60" s="73"/>
    </row>
    <row r="61" spans="2:5" x14ac:dyDescent="0.3">
      <c r="B61" s="72"/>
      <c r="C61" s="73"/>
    </row>
    <row r="62" spans="2:5" x14ac:dyDescent="0.3">
      <c r="B62" s="72"/>
      <c r="C62" s="73"/>
    </row>
    <row r="63" spans="2:5" x14ac:dyDescent="0.3">
      <c r="B63" s="72"/>
      <c r="C63" s="73"/>
    </row>
    <row r="66" spans="2:2" x14ac:dyDescent="0.3">
      <c r="B66" s="59" t="s">
        <v>117</v>
      </c>
    </row>
  </sheetData>
  <mergeCells count="1">
    <mergeCell ref="B1:D1"/>
  </mergeCells>
  <phoneticPr fontId="5" type="noConversion"/>
  <dataValidations count="2">
    <dataValidation type="list" allowBlank="1" showInputMessage="1" showErrorMessage="1" sqref="WVJ983054:WVJ983055 IX4:IX5 ST4:ST5 ACP4:ACP5 AML4:AML5 AWH4:AWH5 BGD4:BGD5 BPZ4:BPZ5 BZV4:BZV5 CJR4:CJR5 CTN4:CTN5 DDJ4:DDJ5 DNF4:DNF5 DXB4:DXB5 EGX4:EGX5 EQT4:EQT5 FAP4:FAP5 FKL4:FKL5 FUH4:FUH5 GED4:GED5 GNZ4:GNZ5 GXV4:GXV5 HHR4:HHR5 HRN4:HRN5 IBJ4:IBJ5 ILF4:ILF5 IVB4:IVB5 JEX4:JEX5 JOT4:JOT5 JYP4:JYP5 KIL4:KIL5 KSH4:KSH5 LCD4:LCD5 LLZ4:LLZ5 LVV4:LVV5 MFR4:MFR5 MPN4:MPN5 MZJ4:MZJ5 NJF4:NJF5 NTB4:NTB5 OCX4:OCX5 OMT4:OMT5 OWP4:OWP5 PGL4:PGL5 PQH4:PQH5 QAD4:QAD5 QJZ4:QJZ5 QTV4:QTV5 RDR4:RDR5 RNN4:RNN5 RXJ4:RXJ5 SHF4:SHF5 SRB4:SRB5 TAX4:TAX5 TKT4:TKT5 TUP4:TUP5 UEL4:UEL5 UOH4:UOH5 UYD4:UYD5 VHZ4:VHZ5 VRV4:VRV5 WBR4:WBR5 WLN4:WLN5 WVJ4:WVJ5 B65528:B65529 IX65528:IX65529 ST65528:ST65529 ACP65528:ACP65529 AML65528:AML65529 AWH65528:AWH65529 BGD65528:BGD65529 BPZ65528:BPZ65529 BZV65528:BZV65529 CJR65528:CJR65529 CTN65528:CTN65529 DDJ65528:DDJ65529 DNF65528:DNF65529 DXB65528:DXB65529 EGX65528:EGX65529 EQT65528:EQT65529 FAP65528:FAP65529 FKL65528:FKL65529 FUH65528:FUH65529 GED65528:GED65529 GNZ65528:GNZ65529 GXV65528:GXV65529 HHR65528:HHR65529 HRN65528:HRN65529 IBJ65528:IBJ65529 ILF65528:ILF65529 IVB65528:IVB65529 JEX65528:JEX65529 JOT65528:JOT65529 JYP65528:JYP65529 KIL65528:KIL65529 KSH65528:KSH65529 LCD65528:LCD65529 LLZ65528:LLZ65529 LVV65528:LVV65529 MFR65528:MFR65529 MPN65528:MPN65529 MZJ65528:MZJ65529 NJF65528:NJF65529 NTB65528:NTB65529 OCX65528:OCX65529 OMT65528:OMT65529 OWP65528:OWP65529 PGL65528:PGL65529 PQH65528:PQH65529 QAD65528:QAD65529 QJZ65528:QJZ65529 QTV65528:QTV65529 RDR65528:RDR65529 RNN65528:RNN65529 RXJ65528:RXJ65529 SHF65528:SHF65529 SRB65528:SRB65529 TAX65528:TAX65529 TKT65528:TKT65529 TUP65528:TUP65529 UEL65528:UEL65529 UOH65528:UOH65529 UYD65528:UYD65529 VHZ65528:VHZ65529 VRV65528:VRV65529 WBR65528:WBR65529 WLN65528:WLN65529 WVJ65528:WVJ65529 B131064:B131065 IX131064:IX131065 ST131064:ST131065 ACP131064:ACP131065 AML131064:AML131065 AWH131064:AWH131065 BGD131064:BGD131065 BPZ131064:BPZ131065 BZV131064:BZV131065 CJR131064:CJR131065 CTN131064:CTN131065 DDJ131064:DDJ131065 DNF131064:DNF131065 DXB131064:DXB131065 EGX131064:EGX131065 EQT131064:EQT131065 FAP131064:FAP131065 FKL131064:FKL131065 FUH131064:FUH131065 GED131064:GED131065 GNZ131064:GNZ131065 GXV131064:GXV131065 HHR131064:HHR131065 HRN131064:HRN131065 IBJ131064:IBJ131065 ILF131064:ILF131065 IVB131064:IVB131065 JEX131064:JEX131065 JOT131064:JOT131065 JYP131064:JYP131065 KIL131064:KIL131065 KSH131064:KSH131065 LCD131064:LCD131065 LLZ131064:LLZ131065 LVV131064:LVV131065 MFR131064:MFR131065 MPN131064:MPN131065 MZJ131064:MZJ131065 NJF131064:NJF131065 NTB131064:NTB131065 OCX131064:OCX131065 OMT131064:OMT131065 OWP131064:OWP131065 PGL131064:PGL131065 PQH131064:PQH131065 QAD131064:QAD131065 QJZ131064:QJZ131065 QTV131064:QTV131065 RDR131064:RDR131065 RNN131064:RNN131065 RXJ131064:RXJ131065 SHF131064:SHF131065 SRB131064:SRB131065 TAX131064:TAX131065 TKT131064:TKT131065 TUP131064:TUP131065 UEL131064:UEL131065 UOH131064:UOH131065 UYD131064:UYD131065 VHZ131064:VHZ131065 VRV131064:VRV131065 WBR131064:WBR131065 WLN131064:WLN131065 WVJ131064:WVJ131065 B196600:B196601 IX196600:IX196601 ST196600:ST196601 ACP196600:ACP196601 AML196600:AML196601 AWH196600:AWH196601 BGD196600:BGD196601 BPZ196600:BPZ196601 BZV196600:BZV196601 CJR196600:CJR196601 CTN196600:CTN196601 DDJ196600:DDJ196601 DNF196600:DNF196601 DXB196600:DXB196601 EGX196600:EGX196601 EQT196600:EQT196601 FAP196600:FAP196601 FKL196600:FKL196601 FUH196600:FUH196601 GED196600:GED196601 GNZ196600:GNZ196601 GXV196600:GXV196601 HHR196600:HHR196601 HRN196600:HRN196601 IBJ196600:IBJ196601 ILF196600:ILF196601 IVB196600:IVB196601 JEX196600:JEX196601 JOT196600:JOT196601 JYP196600:JYP196601 KIL196600:KIL196601 KSH196600:KSH196601 LCD196600:LCD196601 LLZ196600:LLZ196601 LVV196600:LVV196601 MFR196600:MFR196601 MPN196600:MPN196601 MZJ196600:MZJ196601 NJF196600:NJF196601 NTB196600:NTB196601 OCX196600:OCX196601 OMT196600:OMT196601 OWP196600:OWP196601 PGL196600:PGL196601 PQH196600:PQH196601 QAD196600:QAD196601 QJZ196600:QJZ196601 QTV196600:QTV196601 RDR196600:RDR196601 RNN196600:RNN196601 RXJ196600:RXJ196601 SHF196600:SHF196601 SRB196600:SRB196601 TAX196600:TAX196601 TKT196600:TKT196601 TUP196600:TUP196601 UEL196600:UEL196601 UOH196600:UOH196601 UYD196600:UYD196601 VHZ196600:VHZ196601 VRV196600:VRV196601 WBR196600:WBR196601 WLN196600:WLN196601 WVJ196600:WVJ196601 B262136:B262137 IX262136:IX262137 ST262136:ST262137 ACP262136:ACP262137 AML262136:AML262137 AWH262136:AWH262137 BGD262136:BGD262137 BPZ262136:BPZ262137 BZV262136:BZV262137 CJR262136:CJR262137 CTN262136:CTN262137 DDJ262136:DDJ262137 DNF262136:DNF262137 DXB262136:DXB262137 EGX262136:EGX262137 EQT262136:EQT262137 FAP262136:FAP262137 FKL262136:FKL262137 FUH262136:FUH262137 GED262136:GED262137 GNZ262136:GNZ262137 GXV262136:GXV262137 HHR262136:HHR262137 HRN262136:HRN262137 IBJ262136:IBJ262137 ILF262136:ILF262137 IVB262136:IVB262137 JEX262136:JEX262137 JOT262136:JOT262137 JYP262136:JYP262137 KIL262136:KIL262137 KSH262136:KSH262137 LCD262136:LCD262137 LLZ262136:LLZ262137 LVV262136:LVV262137 MFR262136:MFR262137 MPN262136:MPN262137 MZJ262136:MZJ262137 NJF262136:NJF262137 NTB262136:NTB262137 OCX262136:OCX262137 OMT262136:OMT262137 OWP262136:OWP262137 PGL262136:PGL262137 PQH262136:PQH262137 QAD262136:QAD262137 QJZ262136:QJZ262137 QTV262136:QTV262137 RDR262136:RDR262137 RNN262136:RNN262137 RXJ262136:RXJ262137 SHF262136:SHF262137 SRB262136:SRB262137 TAX262136:TAX262137 TKT262136:TKT262137 TUP262136:TUP262137 UEL262136:UEL262137 UOH262136:UOH262137 UYD262136:UYD262137 VHZ262136:VHZ262137 VRV262136:VRV262137 WBR262136:WBR262137 WLN262136:WLN262137 WVJ262136:WVJ262137 B327672:B327673 IX327672:IX327673 ST327672:ST327673 ACP327672:ACP327673 AML327672:AML327673 AWH327672:AWH327673 BGD327672:BGD327673 BPZ327672:BPZ327673 BZV327672:BZV327673 CJR327672:CJR327673 CTN327672:CTN327673 DDJ327672:DDJ327673 DNF327672:DNF327673 DXB327672:DXB327673 EGX327672:EGX327673 EQT327672:EQT327673 FAP327672:FAP327673 FKL327672:FKL327673 FUH327672:FUH327673 GED327672:GED327673 GNZ327672:GNZ327673 GXV327672:GXV327673 HHR327672:HHR327673 HRN327672:HRN327673 IBJ327672:IBJ327673 ILF327672:ILF327673 IVB327672:IVB327673 JEX327672:JEX327673 JOT327672:JOT327673 JYP327672:JYP327673 KIL327672:KIL327673 KSH327672:KSH327673 LCD327672:LCD327673 LLZ327672:LLZ327673 LVV327672:LVV327673 MFR327672:MFR327673 MPN327672:MPN327673 MZJ327672:MZJ327673 NJF327672:NJF327673 NTB327672:NTB327673 OCX327672:OCX327673 OMT327672:OMT327673 OWP327672:OWP327673 PGL327672:PGL327673 PQH327672:PQH327673 QAD327672:QAD327673 QJZ327672:QJZ327673 QTV327672:QTV327673 RDR327672:RDR327673 RNN327672:RNN327673 RXJ327672:RXJ327673 SHF327672:SHF327673 SRB327672:SRB327673 TAX327672:TAX327673 TKT327672:TKT327673 TUP327672:TUP327673 UEL327672:UEL327673 UOH327672:UOH327673 UYD327672:UYD327673 VHZ327672:VHZ327673 VRV327672:VRV327673 WBR327672:WBR327673 WLN327672:WLN327673 WVJ327672:WVJ327673 B393208:B393209 IX393208:IX393209 ST393208:ST393209 ACP393208:ACP393209 AML393208:AML393209 AWH393208:AWH393209 BGD393208:BGD393209 BPZ393208:BPZ393209 BZV393208:BZV393209 CJR393208:CJR393209 CTN393208:CTN393209 DDJ393208:DDJ393209 DNF393208:DNF393209 DXB393208:DXB393209 EGX393208:EGX393209 EQT393208:EQT393209 FAP393208:FAP393209 FKL393208:FKL393209 FUH393208:FUH393209 GED393208:GED393209 GNZ393208:GNZ393209 GXV393208:GXV393209 HHR393208:HHR393209 HRN393208:HRN393209 IBJ393208:IBJ393209 ILF393208:ILF393209 IVB393208:IVB393209 JEX393208:JEX393209 JOT393208:JOT393209 JYP393208:JYP393209 KIL393208:KIL393209 KSH393208:KSH393209 LCD393208:LCD393209 LLZ393208:LLZ393209 LVV393208:LVV393209 MFR393208:MFR393209 MPN393208:MPN393209 MZJ393208:MZJ393209 NJF393208:NJF393209 NTB393208:NTB393209 OCX393208:OCX393209 OMT393208:OMT393209 OWP393208:OWP393209 PGL393208:PGL393209 PQH393208:PQH393209 QAD393208:QAD393209 QJZ393208:QJZ393209 QTV393208:QTV393209 RDR393208:RDR393209 RNN393208:RNN393209 RXJ393208:RXJ393209 SHF393208:SHF393209 SRB393208:SRB393209 TAX393208:TAX393209 TKT393208:TKT393209 TUP393208:TUP393209 UEL393208:UEL393209 UOH393208:UOH393209 UYD393208:UYD393209 VHZ393208:VHZ393209 VRV393208:VRV393209 WBR393208:WBR393209 WLN393208:WLN393209 WVJ393208:WVJ393209 B458744:B458745 IX458744:IX458745 ST458744:ST458745 ACP458744:ACP458745 AML458744:AML458745 AWH458744:AWH458745 BGD458744:BGD458745 BPZ458744:BPZ458745 BZV458744:BZV458745 CJR458744:CJR458745 CTN458744:CTN458745 DDJ458744:DDJ458745 DNF458744:DNF458745 DXB458744:DXB458745 EGX458744:EGX458745 EQT458744:EQT458745 FAP458744:FAP458745 FKL458744:FKL458745 FUH458744:FUH458745 GED458744:GED458745 GNZ458744:GNZ458745 GXV458744:GXV458745 HHR458744:HHR458745 HRN458744:HRN458745 IBJ458744:IBJ458745 ILF458744:ILF458745 IVB458744:IVB458745 JEX458744:JEX458745 JOT458744:JOT458745 JYP458744:JYP458745 KIL458744:KIL458745 KSH458744:KSH458745 LCD458744:LCD458745 LLZ458744:LLZ458745 LVV458744:LVV458745 MFR458744:MFR458745 MPN458744:MPN458745 MZJ458744:MZJ458745 NJF458744:NJF458745 NTB458744:NTB458745 OCX458744:OCX458745 OMT458744:OMT458745 OWP458744:OWP458745 PGL458744:PGL458745 PQH458744:PQH458745 QAD458744:QAD458745 QJZ458744:QJZ458745 QTV458744:QTV458745 RDR458744:RDR458745 RNN458744:RNN458745 RXJ458744:RXJ458745 SHF458744:SHF458745 SRB458744:SRB458745 TAX458744:TAX458745 TKT458744:TKT458745 TUP458744:TUP458745 UEL458744:UEL458745 UOH458744:UOH458745 UYD458744:UYD458745 VHZ458744:VHZ458745 VRV458744:VRV458745 WBR458744:WBR458745 WLN458744:WLN458745 WVJ458744:WVJ458745 B524280:B524281 IX524280:IX524281 ST524280:ST524281 ACP524280:ACP524281 AML524280:AML524281 AWH524280:AWH524281 BGD524280:BGD524281 BPZ524280:BPZ524281 BZV524280:BZV524281 CJR524280:CJR524281 CTN524280:CTN524281 DDJ524280:DDJ524281 DNF524280:DNF524281 DXB524280:DXB524281 EGX524280:EGX524281 EQT524280:EQT524281 FAP524280:FAP524281 FKL524280:FKL524281 FUH524280:FUH524281 GED524280:GED524281 GNZ524280:GNZ524281 GXV524280:GXV524281 HHR524280:HHR524281 HRN524280:HRN524281 IBJ524280:IBJ524281 ILF524280:ILF524281 IVB524280:IVB524281 JEX524280:JEX524281 JOT524280:JOT524281 JYP524280:JYP524281 KIL524280:KIL524281 KSH524280:KSH524281 LCD524280:LCD524281 LLZ524280:LLZ524281 LVV524280:LVV524281 MFR524280:MFR524281 MPN524280:MPN524281 MZJ524280:MZJ524281 NJF524280:NJF524281 NTB524280:NTB524281 OCX524280:OCX524281 OMT524280:OMT524281 OWP524280:OWP524281 PGL524280:PGL524281 PQH524280:PQH524281 QAD524280:QAD524281 QJZ524280:QJZ524281 QTV524280:QTV524281 RDR524280:RDR524281 RNN524280:RNN524281 RXJ524280:RXJ524281 SHF524280:SHF524281 SRB524280:SRB524281 TAX524280:TAX524281 TKT524280:TKT524281 TUP524280:TUP524281 UEL524280:UEL524281 UOH524280:UOH524281 UYD524280:UYD524281 VHZ524280:VHZ524281 VRV524280:VRV524281 WBR524280:WBR524281 WLN524280:WLN524281 WVJ524280:WVJ524281 B589816:B589817 IX589816:IX589817 ST589816:ST589817 ACP589816:ACP589817 AML589816:AML589817 AWH589816:AWH589817 BGD589816:BGD589817 BPZ589816:BPZ589817 BZV589816:BZV589817 CJR589816:CJR589817 CTN589816:CTN589817 DDJ589816:DDJ589817 DNF589816:DNF589817 DXB589816:DXB589817 EGX589816:EGX589817 EQT589816:EQT589817 FAP589816:FAP589817 FKL589816:FKL589817 FUH589816:FUH589817 GED589816:GED589817 GNZ589816:GNZ589817 GXV589816:GXV589817 HHR589816:HHR589817 HRN589816:HRN589817 IBJ589816:IBJ589817 ILF589816:ILF589817 IVB589816:IVB589817 JEX589816:JEX589817 JOT589816:JOT589817 JYP589816:JYP589817 KIL589816:KIL589817 KSH589816:KSH589817 LCD589816:LCD589817 LLZ589816:LLZ589817 LVV589816:LVV589817 MFR589816:MFR589817 MPN589816:MPN589817 MZJ589816:MZJ589817 NJF589816:NJF589817 NTB589816:NTB589817 OCX589816:OCX589817 OMT589816:OMT589817 OWP589816:OWP589817 PGL589816:PGL589817 PQH589816:PQH589817 QAD589816:QAD589817 QJZ589816:QJZ589817 QTV589816:QTV589817 RDR589816:RDR589817 RNN589816:RNN589817 RXJ589816:RXJ589817 SHF589816:SHF589817 SRB589816:SRB589817 TAX589816:TAX589817 TKT589816:TKT589817 TUP589816:TUP589817 UEL589816:UEL589817 UOH589816:UOH589817 UYD589816:UYD589817 VHZ589816:VHZ589817 VRV589816:VRV589817 WBR589816:WBR589817 WLN589816:WLN589817 WVJ589816:WVJ589817 B655352:B655353 IX655352:IX655353 ST655352:ST655353 ACP655352:ACP655353 AML655352:AML655353 AWH655352:AWH655353 BGD655352:BGD655353 BPZ655352:BPZ655353 BZV655352:BZV655353 CJR655352:CJR655353 CTN655352:CTN655353 DDJ655352:DDJ655353 DNF655352:DNF655353 DXB655352:DXB655353 EGX655352:EGX655353 EQT655352:EQT655353 FAP655352:FAP655353 FKL655352:FKL655353 FUH655352:FUH655353 GED655352:GED655353 GNZ655352:GNZ655353 GXV655352:GXV655353 HHR655352:HHR655353 HRN655352:HRN655353 IBJ655352:IBJ655353 ILF655352:ILF655353 IVB655352:IVB655353 JEX655352:JEX655353 JOT655352:JOT655353 JYP655352:JYP655353 KIL655352:KIL655353 KSH655352:KSH655353 LCD655352:LCD655353 LLZ655352:LLZ655353 LVV655352:LVV655353 MFR655352:MFR655353 MPN655352:MPN655353 MZJ655352:MZJ655353 NJF655352:NJF655353 NTB655352:NTB655353 OCX655352:OCX655353 OMT655352:OMT655353 OWP655352:OWP655353 PGL655352:PGL655353 PQH655352:PQH655353 QAD655352:QAD655353 QJZ655352:QJZ655353 QTV655352:QTV655353 RDR655352:RDR655353 RNN655352:RNN655353 RXJ655352:RXJ655353 SHF655352:SHF655353 SRB655352:SRB655353 TAX655352:TAX655353 TKT655352:TKT655353 TUP655352:TUP655353 UEL655352:UEL655353 UOH655352:UOH655353 UYD655352:UYD655353 VHZ655352:VHZ655353 VRV655352:VRV655353 WBR655352:WBR655353 WLN655352:WLN655353 WVJ655352:WVJ655353 B720888:B720889 IX720888:IX720889 ST720888:ST720889 ACP720888:ACP720889 AML720888:AML720889 AWH720888:AWH720889 BGD720888:BGD720889 BPZ720888:BPZ720889 BZV720888:BZV720889 CJR720888:CJR720889 CTN720888:CTN720889 DDJ720888:DDJ720889 DNF720888:DNF720889 DXB720888:DXB720889 EGX720888:EGX720889 EQT720888:EQT720889 FAP720888:FAP720889 FKL720888:FKL720889 FUH720888:FUH720889 GED720888:GED720889 GNZ720888:GNZ720889 GXV720888:GXV720889 HHR720888:HHR720889 HRN720888:HRN720889 IBJ720888:IBJ720889 ILF720888:ILF720889 IVB720888:IVB720889 JEX720888:JEX720889 JOT720888:JOT720889 JYP720888:JYP720889 KIL720888:KIL720889 KSH720888:KSH720889 LCD720888:LCD720889 LLZ720888:LLZ720889 LVV720888:LVV720889 MFR720888:MFR720889 MPN720888:MPN720889 MZJ720888:MZJ720889 NJF720888:NJF720889 NTB720888:NTB720889 OCX720888:OCX720889 OMT720888:OMT720889 OWP720888:OWP720889 PGL720888:PGL720889 PQH720888:PQH720889 QAD720888:QAD720889 QJZ720888:QJZ720889 QTV720888:QTV720889 RDR720888:RDR720889 RNN720888:RNN720889 RXJ720888:RXJ720889 SHF720888:SHF720889 SRB720888:SRB720889 TAX720888:TAX720889 TKT720888:TKT720889 TUP720888:TUP720889 UEL720888:UEL720889 UOH720888:UOH720889 UYD720888:UYD720889 VHZ720888:VHZ720889 VRV720888:VRV720889 WBR720888:WBR720889 WLN720888:WLN720889 WVJ720888:WVJ720889 B786424:B786425 IX786424:IX786425 ST786424:ST786425 ACP786424:ACP786425 AML786424:AML786425 AWH786424:AWH786425 BGD786424:BGD786425 BPZ786424:BPZ786425 BZV786424:BZV786425 CJR786424:CJR786425 CTN786424:CTN786425 DDJ786424:DDJ786425 DNF786424:DNF786425 DXB786424:DXB786425 EGX786424:EGX786425 EQT786424:EQT786425 FAP786424:FAP786425 FKL786424:FKL786425 FUH786424:FUH786425 GED786424:GED786425 GNZ786424:GNZ786425 GXV786424:GXV786425 HHR786424:HHR786425 HRN786424:HRN786425 IBJ786424:IBJ786425 ILF786424:ILF786425 IVB786424:IVB786425 JEX786424:JEX786425 JOT786424:JOT786425 JYP786424:JYP786425 KIL786424:KIL786425 KSH786424:KSH786425 LCD786424:LCD786425 LLZ786424:LLZ786425 LVV786424:LVV786425 MFR786424:MFR786425 MPN786424:MPN786425 MZJ786424:MZJ786425 NJF786424:NJF786425 NTB786424:NTB786425 OCX786424:OCX786425 OMT786424:OMT786425 OWP786424:OWP786425 PGL786424:PGL786425 PQH786424:PQH786425 QAD786424:QAD786425 QJZ786424:QJZ786425 QTV786424:QTV786425 RDR786424:RDR786425 RNN786424:RNN786425 RXJ786424:RXJ786425 SHF786424:SHF786425 SRB786424:SRB786425 TAX786424:TAX786425 TKT786424:TKT786425 TUP786424:TUP786425 UEL786424:UEL786425 UOH786424:UOH786425 UYD786424:UYD786425 VHZ786424:VHZ786425 VRV786424:VRV786425 WBR786424:WBR786425 WLN786424:WLN786425 WVJ786424:WVJ786425 B851960:B851961 IX851960:IX851961 ST851960:ST851961 ACP851960:ACP851961 AML851960:AML851961 AWH851960:AWH851961 BGD851960:BGD851961 BPZ851960:BPZ851961 BZV851960:BZV851961 CJR851960:CJR851961 CTN851960:CTN851961 DDJ851960:DDJ851961 DNF851960:DNF851961 DXB851960:DXB851961 EGX851960:EGX851961 EQT851960:EQT851961 FAP851960:FAP851961 FKL851960:FKL851961 FUH851960:FUH851961 GED851960:GED851961 GNZ851960:GNZ851961 GXV851960:GXV851961 HHR851960:HHR851961 HRN851960:HRN851961 IBJ851960:IBJ851961 ILF851960:ILF851961 IVB851960:IVB851961 JEX851960:JEX851961 JOT851960:JOT851961 JYP851960:JYP851961 KIL851960:KIL851961 KSH851960:KSH851961 LCD851960:LCD851961 LLZ851960:LLZ851961 LVV851960:LVV851961 MFR851960:MFR851961 MPN851960:MPN851961 MZJ851960:MZJ851961 NJF851960:NJF851961 NTB851960:NTB851961 OCX851960:OCX851961 OMT851960:OMT851961 OWP851960:OWP851961 PGL851960:PGL851961 PQH851960:PQH851961 QAD851960:QAD851961 QJZ851960:QJZ851961 QTV851960:QTV851961 RDR851960:RDR851961 RNN851960:RNN851961 RXJ851960:RXJ851961 SHF851960:SHF851961 SRB851960:SRB851961 TAX851960:TAX851961 TKT851960:TKT851961 TUP851960:TUP851961 UEL851960:UEL851961 UOH851960:UOH851961 UYD851960:UYD851961 VHZ851960:VHZ851961 VRV851960:VRV851961 WBR851960:WBR851961 WLN851960:WLN851961 WVJ851960:WVJ851961 B917496:B917497 IX917496:IX917497 ST917496:ST917497 ACP917496:ACP917497 AML917496:AML917497 AWH917496:AWH917497 BGD917496:BGD917497 BPZ917496:BPZ917497 BZV917496:BZV917497 CJR917496:CJR917497 CTN917496:CTN917497 DDJ917496:DDJ917497 DNF917496:DNF917497 DXB917496:DXB917497 EGX917496:EGX917497 EQT917496:EQT917497 FAP917496:FAP917497 FKL917496:FKL917497 FUH917496:FUH917497 GED917496:GED917497 GNZ917496:GNZ917497 GXV917496:GXV917497 HHR917496:HHR917497 HRN917496:HRN917497 IBJ917496:IBJ917497 ILF917496:ILF917497 IVB917496:IVB917497 JEX917496:JEX917497 JOT917496:JOT917497 JYP917496:JYP917497 KIL917496:KIL917497 KSH917496:KSH917497 LCD917496:LCD917497 LLZ917496:LLZ917497 LVV917496:LVV917497 MFR917496:MFR917497 MPN917496:MPN917497 MZJ917496:MZJ917497 NJF917496:NJF917497 NTB917496:NTB917497 OCX917496:OCX917497 OMT917496:OMT917497 OWP917496:OWP917497 PGL917496:PGL917497 PQH917496:PQH917497 QAD917496:QAD917497 QJZ917496:QJZ917497 QTV917496:QTV917497 RDR917496:RDR917497 RNN917496:RNN917497 RXJ917496:RXJ917497 SHF917496:SHF917497 SRB917496:SRB917497 TAX917496:TAX917497 TKT917496:TKT917497 TUP917496:TUP917497 UEL917496:UEL917497 UOH917496:UOH917497 UYD917496:UYD917497 VHZ917496:VHZ917497 VRV917496:VRV917497 WBR917496:WBR917497 WLN917496:WLN917497 WVJ917496:WVJ917497 B983032:B983033 IX983032:IX983033 ST983032:ST983033 ACP983032:ACP983033 AML983032:AML983033 AWH983032:AWH983033 BGD983032:BGD983033 BPZ983032:BPZ983033 BZV983032:BZV983033 CJR983032:CJR983033 CTN983032:CTN983033 DDJ983032:DDJ983033 DNF983032:DNF983033 DXB983032:DXB983033 EGX983032:EGX983033 EQT983032:EQT983033 FAP983032:FAP983033 FKL983032:FKL983033 FUH983032:FUH983033 GED983032:GED983033 GNZ983032:GNZ983033 GXV983032:GXV983033 HHR983032:HHR983033 HRN983032:HRN983033 IBJ983032:IBJ983033 ILF983032:ILF983033 IVB983032:IVB983033 JEX983032:JEX983033 JOT983032:JOT983033 JYP983032:JYP983033 KIL983032:KIL983033 KSH983032:KSH983033 LCD983032:LCD983033 LLZ983032:LLZ983033 LVV983032:LVV983033 MFR983032:MFR983033 MPN983032:MPN983033 MZJ983032:MZJ983033 NJF983032:NJF983033 NTB983032:NTB983033 OCX983032:OCX983033 OMT983032:OMT983033 OWP983032:OWP983033 PGL983032:PGL983033 PQH983032:PQH983033 QAD983032:QAD983033 QJZ983032:QJZ983033 QTV983032:QTV983033 RDR983032:RDR983033 RNN983032:RNN983033 RXJ983032:RXJ983033 SHF983032:SHF983033 SRB983032:SRB983033 TAX983032:TAX983033 TKT983032:TKT983033 TUP983032:TUP983033 UEL983032:UEL983033 UOH983032:UOH983033 UYD983032:UYD983033 VHZ983032:VHZ983033 VRV983032:VRV983033 WBR983032:WBR983033 WLN983032:WLN983033 WVJ983032:WVJ98303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B65550:B65551 IX65550:IX65551 ST65550:ST65551 ACP65550:ACP65551 AML65550:AML65551 AWH65550:AWH65551 BGD65550:BGD65551 BPZ65550:BPZ65551 BZV65550:BZV65551 CJR65550:CJR65551 CTN65550:CTN65551 DDJ65550:DDJ65551 DNF65550:DNF65551 DXB65550:DXB65551 EGX65550:EGX65551 EQT65550:EQT65551 FAP65550:FAP65551 FKL65550:FKL65551 FUH65550:FUH65551 GED65550:GED65551 GNZ65550:GNZ65551 GXV65550:GXV65551 HHR65550:HHR65551 HRN65550:HRN65551 IBJ65550:IBJ65551 ILF65550:ILF65551 IVB65550:IVB65551 JEX65550:JEX65551 JOT65550:JOT65551 JYP65550:JYP65551 KIL65550:KIL65551 KSH65550:KSH65551 LCD65550:LCD65551 LLZ65550:LLZ65551 LVV65550:LVV65551 MFR65550:MFR65551 MPN65550:MPN65551 MZJ65550:MZJ65551 NJF65550:NJF65551 NTB65550:NTB65551 OCX65550:OCX65551 OMT65550:OMT65551 OWP65550:OWP65551 PGL65550:PGL65551 PQH65550:PQH65551 QAD65550:QAD65551 QJZ65550:QJZ65551 QTV65550:QTV65551 RDR65550:RDR65551 RNN65550:RNN65551 RXJ65550:RXJ65551 SHF65550:SHF65551 SRB65550:SRB65551 TAX65550:TAX65551 TKT65550:TKT65551 TUP65550:TUP65551 UEL65550:UEL65551 UOH65550:UOH65551 UYD65550:UYD65551 VHZ65550:VHZ65551 VRV65550:VRV65551 WBR65550:WBR65551 WLN65550:WLN65551 WVJ65550:WVJ65551 B131086:B131087 IX131086:IX131087 ST131086:ST131087 ACP131086:ACP131087 AML131086:AML131087 AWH131086:AWH131087 BGD131086:BGD131087 BPZ131086:BPZ131087 BZV131086:BZV131087 CJR131086:CJR131087 CTN131086:CTN131087 DDJ131086:DDJ131087 DNF131086:DNF131087 DXB131086:DXB131087 EGX131086:EGX131087 EQT131086:EQT131087 FAP131086:FAP131087 FKL131086:FKL131087 FUH131086:FUH131087 GED131086:GED131087 GNZ131086:GNZ131087 GXV131086:GXV131087 HHR131086:HHR131087 HRN131086:HRN131087 IBJ131086:IBJ131087 ILF131086:ILF131087 IVB131086:IVB131087 JEX131086:JEX131087 JOT131086:JOT131087 JYP131086:JYP131087 KIL131086:KIL131087 KSH131086:KSH131087 LCD131086:LCD131087 LLZ131086:LLZ131087 LVV131086:LVV131087 MFR131086:MFR131087 MPN131086:MPN131087 MZJ131086:MZJ131087 NJF131086:NJF131087 NTB131086:NTB131087 OCX131086:OCX131087 OMT131086:OMT131087 OWP131086:OWP131087 PGL131086:PGL131087 PQH131086:PQH131087 QAD131086:QAD131087 QJZ131086:QJZ131087 QTV131086:QTV131087 RDR131086:RDR131087 RNN131086:RNN131087 RXJ131086:RXJ131087 SHF131086:SHF131087 SRB131086:SRB131087 TAX131086:TAX131087 TKT131086:TKT131087 TUP131086:TUP131087 UEL131086:UEL131087 UOH131086:UOH131087 UYD131086:UYD131087 VHZ131086:VHZ131087 VRV131086:VRV131087 WBR131086:WBR131087 WLN131086:WLN131087 WVJ131086:WVJ131087 B196622:B196623 IX196622:IX196623 ST196622:ST196623 ACP196622:ACP196623 AML196622:AML196623 AWH196622:AWH196623 BGD196622:BGD196623 BPZ196622:BPZ196623 BZV196622:BZV196623 CJR196622:CJR196623 CTN196622:CTN196623 DDJ196622:DDJ196623 DNF196622:DNF196623 DXB196622:DXB196623 EGX196622:EGX196623 EQT196622:EQT196623 FAP196622:FAP196623 FKL196622:FKL196623 FUH196622:FUH196623 GED196622:GED196623 GNZ196622:GNZ196623 GXV196622:GXV196623 HHR196622:HHR196623 HRN196622:HRN196623 IBJ196622:IBJ196623 ILF196622:ILF196623 IVB196622:IVB196623 JEX196622:JEX196623 JOT196622:JOT196623 JYP196622:JYP196623 KIL196622:KIL196623 KSH196622:KSH196623 LCD196622:LCD196623 LLZ196622:LLZ196623 LVV196622:LVV196623 MFR196622:MFR196623 MPN196622:MPN196623 MZJ196622:MZJ196623 NJF196622:NJF196623 NTB196622:NTB196623 OCX196622:OCX196623 OMT196622:OMT196623 OWP196622:OWP196623 PGL196622:PGL196623 PQH196622:PQH196623 QAD196622:QAD196623 QJZ196622:QJZ196623 QTV196622:QTV196623 RDR196622:RDR196623 RNN196622:RNN196623 RXJ196622:RXJ196623 SHF196622:SHF196623 SRB196622:SRB196623 TAX196622:TAX196623 TKT196622:TKT196623 TUP196622:TUP196623 UEL196622:UEL196623 UOH196622:UOH196623 UYD196622:UYD196623 VHZ196622:VHZ196623 VRV196622:VRV196623 WBR196622:WBR196623 WLN196622:WLN196623 WVJ196622:WVJ196623 B262158:B262159 IX262158:IX262159 ST262158:ST262159 ACP262158:ACP262159 AML262158:AML262159 AWH262158:AWH262159 BGD262158:BGD262159 BPZ262158:BPZ262159 BZV262158:BZV262159 CJR262158:CJR262159 CTN262158:CTN262159 DDJ262158:DDJ262159 DNF262158:DNF262159 DXB262158:DXB262159 EGX262158:EGX262159 EQT262158:EQT262159 FAP262158:FAP262159 FKL262158:FKL262159 FUH262158:FUH262159 GED262158:GED262159 GNZ262158:GNZ262159 GXV262158:GXV262159 HHR262158:HHR262159 HRN262158:HRN262159 IBJ262158:IBJ262159 ILF262158:ILF262159 IVB262158:IVB262159 JEX262158:JEX262159 JOT262158:JOT262159 JYP262158:JYP262159 KIL262158:KIL262159 KSH262158:KSH262159 LCD262158:LCD262159 LLZ262158:LLZ262159 LVV262158:LVV262159 MFR262158:MFR262159 MPN262158:MPN262159 MZJ262158:MZJ262159 NJF262158:NJF262159 NTB262158:NTB262159 OCX262158:OCX262159 OMT262158:OMT262159 OWP262158:OWP262159 PGL262158:PGL262159 PQH262158:PQH262159 QAD262158:QAD262159 QJZ262158:QJZ262159 QTV262158:QTV262159 RDR262158:RDR262159 RNN262158:RNN262159 RXJ262158:RXJ262159 SHF262158:SHF262159 SRB262158:SRB262159 TAX262158:TAX262159 TKT262158:TKT262159 TUP262158:TUP262159 UEL262158:UEL262159 UOH262158:UOH262159 UYD262158:UYD262159 VHZ262158:VHZ262159 VRV262158:VRV262159 WBR262158:WBR262159 WLN262158:WLN262159 WVJ262158:WVJ262159 B327694:B327695 IX327694:IX327695 ST327694:ST327695 ACP327694:ACP327695 AML327694:AML327695 AWH327694:AWH327695 BGD327694:BGD327695 BPZ327694:BPZ327695 BZV327694:BZV327695 CJR327694:CJR327695 CTN327694:CTN327695 DDJ327694:DDJ327695 DNF327694:DNF327695 DXB327694:DXB327695 EGX327694:EGX327695 EQT327694:EQT327695 FAP327694:FAP327695 FKL327694:FKL327695 FUH327694:FUH327695 GED327694:GED327695 GNZ327694:GNZ327695 GXV327694:GXV327695 HHR327694:HHR327695 HRN327694:HRN327695 IBJ327694:IBJ327695 ILF327694:ILF327695 IVB327694:IVB327695 JEX327694:JEX327695 JOT327694:JOT327695 JYP327694:JYP327695 KIL327694:KIL327695 KSH327694:KSH327695 LCD327694:LCD327695 LLZ327694:LLZ327695 LVV327694:LVV327695 MFR327694:MFR327695 MPN327694:MPN327695 MZJ327694:MZJ327695 NJF327694:NJF327695 NTB327694:NTB327695 OCX327694:OCX327695 OMT327694:OMT327695 OWP327694:OWP327695 PGL327694:PGL327695 PQH327694:PQH327695 QAD327694:QAD327695 QJZ327694:QJZ327695 QTV327694:QTV327695 RDR327694:RDR327695 RNN327694:RNN327695 RXJ327694:RXJ327695 SHF327694:SHF327695 SRB327694:SRB327695 TAX327694:TAX327695 TKT327694:TKT327695 TUP327694:TUP327695 UEL327694:UEL327695 UOH327694:UOH327695 UYD327694:UYD327695 VHZ327694:VHZ327695 VRV327694:VRV327695 WBR327694:WBR327695 WLN327694:WLN327695 WVJ327694:WVJ327695 B393230:B393231 IX393230:IX393231 ST393230:ST393231 ACP393230:ACP393231 AML393230:AML393231 AWH393230:AWH393231 BGD393230:BGD393231 BPZ393230:BPZ393231 BZV393230:BZV393231 CJR393230:CJR393231 CTN393230:CTN393231 DDJ393230:DDJ393231 DNF393230:DNF393231 DXB393230:DXB393231 EGX393230:EGX393231 EQT393230:EQT393231 FAP393230:FAP393231 FKL393230:FKL393231 FUH393230:FUH393231 GED393230:GED393231 GNZ393230:GNZ393231 GXV393230:GXV393231 HHR393230:HHR393231 HRN393230:HRN393231 IBJ393230:IBJ393231 ILF393230:ILF393231 IVB393230:IVB393231 JEX393230:JEX393231 JOT393230:JOT393231 JYP393230:JYP393231 KIL393230:KIL393231 KSH393230:KSH393231 LCD393230:LCD393231 LLZ393230:LLZ393231 LVV393230:LVV393231 MFR393230:MFR393231 MPN393230:MPN393231 MZJ393230:MZJ393231 NJF393230:NJF393231 NTB393230:NTB393231 OCX393230:OCX393231 OMT393230:OMT393231 OWP393230:OWP393231 PGL393230:PGL393231 PQH393230:PQH393231 QAD393230:QAD393231 QJZ393230:QJZ393231 QTV393230:QTV393231 RDR393230:RDR393231 RNN393230:RNN393231 RXJ393230:RXJ393231 SHF393230:SHF393231 SRB393230:SRB393231 TAX393230:TAX393231 TKT393230:TKT393231 TUP393230:TUP393231 UEL393230:UEL393231 UOH393230:UOH393231 UYD393230:UYD393231 VHZ393230:VHZ393231 VRV393230:VRV393231 WBR393230:WBR393231 WLN393230:WLN393231 WVJ393230:WVJ393231 B458766:B458767 IX458766:IX458767 ST458766:ST458767 ACP458766:ACP458767 AML458766:AML458767 AWH458766:AWH458767 BGD458766:BGD458767 BPZ458766:BPZ458767 BZV458766:BZV458767 CJR458766:CJR458767 CTN458766:CTN458767 DDJ458766:DDJ458767 DNF458766:DNF458767 DXB458766:DXB458767 EGX458766:EGX458767 EQT458766:EQT458767 FAP458766:FAP458767 FKL458766:FKL458767 FUH458766:FUH458767 GED458766:GED458767 GNZ458766:GNZ458767 GXV458766:GXV458767 HHR458766:HHR458767 HRN458766:HRN458767 IBJ458766:IBJ458767 ILF458766:ILF458767 IVB458766:IVB458767 JEX458766:JEX458767 JOT458766:JOT458767 JYP458766:JYP458767 KIL458766:KIL458767 KSH458766:KSH458767 LCD458766:LCD458767 LLZ458766:LLZ458767 LVV458766:LVV458767 MFR458766:MFR458767 MPN458766:MPN458767 MZJ458766:MZJ458767 NJF458766:NJF458767 NTB458766:NTB458767 OCX458766:OCX458767 OMT458766:OMT458767 OWP458766:OWP458767 PGL458766:PGL458767 PQH458766:PQH458767 QAD458766:QAD458767 QJZ458766:QJZ458767 QTV458766:QTV458767 RDR458766:RDR458767 RNN458766:RNN458767 RXJ458766:RXJ458767 SHF458766:SHF458767 SRB458766:SRB458767 TAX458766:TAX458767 TKT458766:TKT458767 TUP458766:TUP458767 UEL458766:UEL458767 UOH458766:UOH458767 UYD458766:UYD458767 VHZ458766:VHZ458767 VRV458766:VRV458767 WBR458766:WBR458767 WLN458766:WLN458767 WVJ458766:WVJ458767 B524302:B524303 IX524302:IX524303 ST524302:ST524303 ACP524302:ACP524303 AML524302:AML524303 AWH524302:AWH524303 BGD524302:BGD524303 BPZ524302:BPZ524303 BZV524302:BZV524303 CJR524302:CJR524303 CTN524302:CTN524303 DDJ524302:DDJ524303 DNF524302:DNF524303 DXB524302:DXB524303 EGX524302:EGX524303 EQT524302:EQT524303 FAP524302:FAP524303 FKL524302:FKL524303 FUH524302:FUH524303 GED524302:GED524303 GNZ524302:GNZ524303 GXV524302:GXV524303 HHR524302:HHR524303 HRN524302:HRN524303 IBJ524302:IBJ524303 ILF524302:ILF524303 IVB524302:IVB524303 JEX524302:JEX524303 JOT524302:JOT524303 JYP524302:JYP524303 KIL524302:KIL524303 KSH524302:KSH524303 LCD524302:LCD524303 LLZ524302:LLZ524303 LVV524302:LVV524303 MFR524302:MFR524303 MPN524302:MPN524303 MZJ524302:MZJ524303 NJF524302:NJF524303 NTB524302:NTB524303 OCX524302:OCX524303 OMT524302:OMT524303 OWP524302:OWP524303 PGL524302:PGL524303 PQH524302:PQH524303 QAD524302:QAD524303 QJZ524302:QJZ524303 QTV524302:QTV524303 RDR524302:RDR524303 RNN524302:RNN524303 RXJ524302:RXJ524303 SHF524302:SHF524303 SRB524302:SRB524303 TAX524302:TAX524303 TKT524302:TKT524303 TUP524302:TUP524303 UEL524302:UEL524303 UOH524302:UOH524303 UYD524302:UYD524303 VHZ524302:VHZ524303 VRV524302:VRV524303 WBR524302:WBR524303 WLN524302:WLN524303 WVJ524302:WVJ524303 B589838:B589839 IX589838:IX589839 ST589838:ST589839 ACP589838:ACP589839 AML589838:AML589839 AWH589838:AWH589839 BGD589838:BGD589839 BPZ589838:BPZ589839 BZV589838:BZV589839 CJR589838:CJR589839 CTN589838:CTN589839 DDJ589838:DDJ589839 DNF589838:DNF589839 DXB589838:DXB589839 EGX589838:EGX589839 EQT589838:EQT589839 FAP589838:FAP589839 FKL589838:FKL589839 FUH589838:FUH589839 GED589838:GED589839 GNZ589838:GNZ589839 GXV589838:GXV589839 HHR589838:HHR589839 HRN589838:HRN589839 IBJ589838:IBJ589839 ILF589838:ILF589839 IVB589838:IVB589839 JEX589838:JEX589839 JOT589838:JOT589839 JYP589838:JYP589839 KIL589838:KIL589839 KSH589838:KSH589839 LCD589838:LCD589839 LLZ589838:LLZ589839 LVV589838:LVV589839 MFR589838:MFR589839 MPN589838:MPN589839 MZJ589838:MZJ589839 NJF589838:NJF589839 NTB589838:NTB589839 OCX589838:OCX589839 OMT589838:OMT589839 OWP589838:OWP589839 PGL589838:PGL589839 PQH589838:PQH589839 QAD589838:QAD589839 QJZ589838:QJZ589839 QTV589838:QTV589839 RDR589838:RDR589839 RNN589838:RNN589839 RXJ589838:RXJ589839 SHF589838:SHF589839 SRB589838:SRB589839 TAX589838:TAX589839 TKT589838:TKT589839 TUP589838:TUP589839 UEL589838:UEL589839 UOH589838:UOH589839 UYD589838:UYD589839 VHZ589838:VHZ589839 VRV589838:VRV589839 WBR589838:WBR589839 WLN589838:WLN589839 WVJ589838:WVJ589839 B655374:B655375 IX655374:IX655375 ST655374:ST655375 ACP655374:ACP655375 AML655374:AML655375 AWH655374:AWH655375 BGD655374:BGD655375 BPZ655374:BPZ655375 BZV655374:BZV655375 CJR655374:CJR655375 CTN655374:CTN655375 DDJ655374:DDJ655375 DNF655374:DNF655375 DXB655374:DXB655375 EGX655374:EGX655375 EQT655374:EQT655375 FAP655374:FAP655375 FKL655374:FKL655375 FUH655374:FUH655375 GED655374:GED655375 GNZ655374:GNZ655375 GXV655374:GXV655375 HHR655374:HHR655375 HRN655374:HRN655375 IBJ655374:IBJ655375 ILF655374:ILF655375 IVB655374:IVB655375 JEX655374:JEX655375 JOT655374:JOT655375 JYP655374:JYP655375 KIL655374:KIL655375 KSH655374:KSH655375 LCD655374:LCD655375 LLZ655374:LLZ655375 LVV655374:LVV655375 MFR655374:MFR655375 MPN655374:MPN655375 MZJ655374:MZJ655375 NJF655374:NJF655375 NTB655374:NTB655375 OCX655374:OCX655375 OMT655374:OMT655375 OWP655374:OWP655375 PGL655374:PGL655375 PQH655374:PQH655375 QAD655374:QAD655375 QJZ655374:QJZ655375 QTV655374:QTV655375 RDR655374:RDR655375 RNN655374:RNN655375 RXJ655374:RXJ655375 SHF655374:SHF655375 SRB655374:SRB655375 TAX655374:TAX655375 TKT655374:TKT655375 TUP655374:TUP655375 UEL655374:UEL655375 UOH655374:UOH655375 UYD655374:UYD655375 VHZ655374:VHZ655375 VRV655374:VRV655375 WBR655374:WBR655375 WLN655374:WLN655375 WVJ655374:WVJ655375 B720910:B720911 IX720910:IX720911 ST720910:ST720911 ACP720910:ACP720911 AML720910:AML720911 AWH720910:AWH720911 BGD720910:BGD720911 BPZ720910:BPZ720911 BZV720910:BZV720911 CJR720910:CJR720911 CTN720910:CTN720911 DDJ720910:DDJ720911 DNF720910:DNF720911 DXB720910:DXB720911 EGX720910:EGX720911 EQT720910:EQT720911 FAP720910:FAP720911 FKL720910:FKL720911 FUH720910:FUH720911 GED720910:GED720911 GNZ720910:GNZ720911 GXV720910:GXV720911 HHR720910:HHR720911 HRN720910:HRN720911 IBJ720910:IBJ720911 ILF720910:ILF720911 IVB720910:IVB720911 JEX720910:JEX720911 JOT720910:JOT720911 JYP720910:JYP720911 KIL720910:KIL720911 KSH720910:KSH720911 LCD720910:LCD720911 LLZ720910:LLZ720911 LVV720910:LVV720911 MFR720910:MFR720911 MPN720910:MPN720911 MZJ720910:MZJ720911 NJF720910:NJF720911 NTB720910:NTB720911 OCX720910:OCX720911 OMT720910:OMT720911 OWP720910:OWP720911 PGL720910:PGL720911 PQH720910:PQH720911 QAD720910:QAD720911 QJZ720910:QJZ720911 QTV720910:QTV720911 RDR720910:RDR720911 RNN720910:RNN720911 RXJ720910:RXJ720911 SHF720910:SHF720911 SRB720910:SRB720911 TAX720910:TAX720911 TKT720910:TKT720911 TUP720910:TUP720911 UEL720910:UEL720911 UOH720910:UOH720911 UYD720910:UYD720911 VHZ720910:VHZ720911 VRV720910:VRV720911 WBR720910:WBR720911 WLN720910:WLN720911 WVJ720910:WVJ720911 B786446:B786447 IX786446:IX786447 ST786446:ST786447 ACP786446:ACP786447 AML786446:AML786447 AWH786446:AWH786447 BGD786446:BGD786447 BPZ786446:BPZ786447 BZV786446:BZV786447 CJR786446:CJR786447 CTN786446:CTN786447 DDJ786446:DDJ786447 DNF786446:DNF786447 DXB786446:DXB786447 EGX786446:EGX786447 EQT786446:EQT786447 FAP786446:FAP786447 FKL786446:FKL786447 FUH786446:FUH786447 GED786446:GED786447 GNZ786446:GNZ786447 GXV786446:GXV786447 HHR786446:HHR786447 HRN786446:HRN786447 IBJ786446:IBJ786447 ILF786446:ILF786447 IVB786446:IVB786447 JEX786446:JEX786447 JOT786446:JOT786447 JYP786446:JYP786447 KIL786446:KIL786447 KSH786446:KSH786447 LCD786446:LCD786447 LLZ786446:LLZ786447 LVV786446:LVV786447 MFR786446:MFR786447 MPN786446:MPN786447 MZJ786446:MZJ786447 NJF786446:NJF786447 NTB786446:NTB786447 OCX786446:OCX786447 OMT786446:OMT786447 OWP786446:OWP786447 PGL786446:PGL786447 PQH786446:PQH786447 QAD786446:QAD786447 QJZ786446:QJZ786447 QTV786446:QTV786447 RDR786446:RDR786447 RNN786446:RNN786447 RXJ786446:RXJ786447 SHF786446:SHF786447 SRB786446:SRB786447 TAX786446:TAX786447 TKT786446:TKT786447 TUP786446:TUP786447 UEL786446:UEL786447 UOH786446:UOH786447 UYD786446:UYD786447 VHZ786446:VHZ786447 VRV786446:VRV786447 WBR786446:WBR786447 WLN786446:WLN786447 WVJ786446:WVJ786447 B851982:B851983 IX851982:IX851983 ST851982:ST851983 ACP851982:ACP851983 AML851982:AML851983 AWH851982:AWH851983 BGD851982:BGD851983 BPZ851982:BPZ851983 BZV851982:BZV851983 CJR851982:CJR851983 CTN851982:CTN851983 DDJ851982:DDJ851983 DNF851982:DNF851983 DXB851982:DXB851983 EGX851982:EGX851983 EQT851982:EQT851983 FAP851982:FAP851983 FKL851982:FKL851983 FUH851982:FUH851983 GED851982:GED851983 GNZ851982:GNZ851983 GXV851982:GXV851983 HHR851982:HHR851983 HRN851982:HRN851983 IBJ851982:IBJ851983 ILF851982:ILF851983 IVB851982:IVB851983 JEX851982:JEX851983 JOT851982:JOT851983 JYP851982:JYP851983 KIL851982:KIL851983 KSH851982:KSH851983 LCD851982:LCD851983 LLZ851982:LLZ851983 LVV851982:LVV851983 MFR851982:MFR851983 MPN851982:MPN851983 MZJ851982:MZJ851983 NJF851982:NJF851983 NTB851982:NTB851983 OCX851982:OCX851983 OMT851982:OMT851983 OWP851982:OWP851983 PGL851982:PGL851983 PQH851982:PQH851983 QAD851982:QAD851983 QJZ851982:QJZ851983 QTV851982:QTV851983 RDR851982:RDR851983 RNN851982:RNN851983 RXJ851982:RXJ851983 SHF851982:SHF851983 SRB851982:SRB851983 TAX851982:TAX851983 TKT851982:TKT851983 TUP851982:TUP851983 UEL851982:UEL851983 UOH851982:UOH851983 UYD851982:UYD851983 VHZ851982:VHZ851983 VRV851982:VRV851983 WBR851982:WBR851983 WLN851982:WLN851983 WVJ851982:WVJ851983 B917518:B917519 IX917518:IX917519 ST917518:ST917519 ACP917518:ACP917519 AML917518:AML917519 AWH917518:AWH917519 BGD917518:BGD917519 BPZ917518:BPZ917519 BZV917518:BZV917519 CJR917518:CJR917519 CTN917518:CTN917519 DDJ917518:DDJ917519 DNF917518:DNF917519 DXB917518:DXB917519 EGX917518:EGX917519 EQT917518:EQT917519 FAP917518:FAP917519 FKL917518:FKL917519 FUH917518:FUH917519 GED917518:GED917519 GNZ917518:GNZ917519 GXV917518:GXV917519 HHR917518:HHR917519 HRN917518:HRN917519 IBJ917518:IBJ917519 ILF917518:ILF917519 IVB917518:IVB917519 JEX917518:JEX917519 JOT917518:JOT917519 JYP917518:JYP917519 KIL917518:KIL917519 KSH917518:KSH917519 LCD917518:LCD917519 LLZ917518:LLZ917519 LVV917518:LVV917519 MFR917518:MFR917519 MPN917518:MPN917519 MZJ917518:MZJ917519 NJF917518:NJF917519 NTB917518:NTB917519 OCX917518:OCX917519 OMT917518:OMT917519 OWP917518:OWP917519 PGL917518:PGL917519 PQH917518:PQH917519 QAD917518:QAD917519 QJZ917518:QJZ917519 QTV917518:QTV917519 RDR917518:RDR917519 RNN917518:RNN917519 RXJ917518:RXJ917519 SHF917518:SHF917519 SRB917518:SRB917519 TAX917518:TAX917519 TKT917518:TKT917519 TUP917518:TUP917519 UEL917518:UEL917519 UOH917518:UOH917519 UYD917518:UYD917519 VHZ917518:VHZ917519 VRV917518:VRV917519 WBR917518:WBR917519 WLN917518:WLN917519 WVJ917518:WVJ917519 B983054:B983055 IX983054:IX983055 ST983054:ST983055 ACP983054:ACP983055 AML983054:AML983055 AWH983054:AWH983055 BGD983054:BGD983055 BPZ983054:BPZ983055 BZV983054:BZV983055 CJR983054:CJR983055 CTN983054:CTN983055 DDJ983054:DDJ983055 DNF983054:DNF983055 DXB983054:DXB983055 EGX983054:EGX983055 EQT983054:EQT983055 FAP983054:FAP983055 FKL983054:FKL983055 FUH983054:FUH983055 GED983054:GED983055 GNZ983054:GNZ983055 GXV983054:GXV983055 HHR983054:HHR983055 HRN983054:HRN983055 IBJ983054:IBJ983055 ILF983054:ILF983055 IVB983054:IVB983055 JEX983054:JEX983055 JOT983054:JOT983055 JYP983054:JYP983055 KIL983054:KIL983055 KSH983054:KSH983055 LCD983054:LCD983055 LLZ983054:LLZ983055 LVV983054:LVV983055 MFR983054:MFR983055 MPN983054:MPN983055 MZJ983054:MZJ983055 NJF983054:NJF983055 NTB983054:NTB983055 OCX983054:OCX983055 OMT983054:OMT983055 OWP983054:OWP983055 PGL983054:PGL983055 PQH983054:PQH983055 QAD983054:QAD983055 QJZ983054:QJZ983055 QTV983054:QTV983055 RDR983054:RDR983055 RNN983054:RNN983055 RXJ983054:RXJ983055 SHF983054:SHF983055 SRB983054:SRB983055 TAX983054:TAX983055 TKT983054:TKT983055 TUP983054:TUP983055 UEL983054:UEL983055 UOH983054:UOH983055 UYD983054:UYD983055 VHZ983054:VHZ983055 VRV983054:VRV983055 WBR983054:WBR983055 WLN983054:WLN983055" xr:uid="{8E4C2780-1956-49FB-BC7F-EA3A46C3441A}">
      <formula1>INDIRECT("Variables!B:B")</formula1>
    </dataValidation>
    <dataValidation type="list" allowBlank="1" showInputMessage="1" showErrorMessage="1" sqref="B4:B6" xr:uid="{C774B13A-68D1-40E6-B4F0-C7F4938E417B}">
      <formula1>$Q$3:$Q$6</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4A114-55F1-480A-9187-CCC1C1247A3A}">
  <dimension ref="B1:D9"/>
  <sheetViews>
    <sheetView workbookViewId="0">
      <selection activeCell="B17" sqref="B17"/>
    </sheetView>
  </sheetViews>
  <sheetFormatPr defaultRowHeight="16.5" x14ac:dyDescent="0.3"/>
  <cols>
    <col min="2" max="2" width="33.5" bestFit="1" customWidth="1"/>
    <col min="3" max="3" width="10.5" customWidth="1"/>
    <col min="4" max="4" width="10.875" style="123" customWidth="1"/>
  </cols>
  <sheetData>
    <row r="1" spans="2:4" ht="26.25" x14ac:dyDescent="0.45">
      <c r="B1" s="133" t="s">
        <v>170</v>
      </c>
      <c r="C1" s="134"/>
      <c r="D1" s="134"/>
    </row>
    <row r="2" spans="2:4" ht="17.25" thickBot="1" x14ac:dyDescent="0.35">
      <c r="B2" s="59"/>
      <c r="C2" s="59"/>
      <c r="D2" s="116"/>
    </row>
    <row r="3" spans="2:4" ht="18.75" thickBot="1" x14ac:dyDescent="0.3">
      <c r="B3" s="60" t="s">
        <v>118</v>
      </c>
      <c r="C3" s="61" t="s">
        <v>114</v>
      </c>
      <c r="D3" s="117" t="s">
        <v>115</v>
      </c>
    </row>
    <row r="4" spans="2:4" x14ac:dyDescent="0.25">
      <c r="B4" s="62" t="s">
        <v>161</v>
      </c>
      <c r="C4" s="63">
        <v>40</v>
      </c>
      <c r="D4" s="118">
        <v>0.7142857142857143</v>
      </c>
    </row>
    <row r="5" spans="2:4" x14ac:dyDescent="0.25">
      <c r="B5" s="64" t="s">
        <v>163</v>
      </c>
      <c r="C5" s="65">
        <v>16</v>
      </c>
      <c r="D5" s="119">
        <v>0.2857142857142857</v>
      </c>
    </row>
    <row r="6" spans="2:4" x14ac:dyDescent="0.25">
      <c r="B6" s="66" t="s">
        <v>159</v>
      </c>
      <c r="C6" s="67">
        <v>9</v>
      </c>
      <c r="D6" s="120">
        <v>1</v>
      </c>
    </row>
    <row r="7" spans="2:4" ht="17.25" thickBot="1" x14ac:dyDescent="0.3">
      <c r="B7" s="68" t="s">
        <v>119</v>
      </c>
      <c r="C7" s="69">
        <v>56</v>
      </c>
      <c r="D7" s="121">
        <v>1</v>
      </c>
    </row>
    <row r="8" spans="2:4" x14ac:dyDescent="0.3">
      <c r="B8" s="70" t="s">
        <v>168</v>
      </c>
      <c r="C8" s="59"/>
      <c r="D8" s="122"/>
    </row>
    <row r="9" spans="2:4" x14ac:dyDescent="0.3">
      <c r="B9" s="59" t="s">
        <v>169</v>
      </c>
      <c r="C9" s="115">
        <v>65</v>
      </c>
      <c r="D9" s="122"/>
    </row>
  </sheetData>
  <mergeCells count="1">
    <mergeCell ref="B1:D1"/>
  </mergeCells>
  <phoneticPr fontId="1" type="noConversion"/>
  <dataValidations count="1">
    <dataValidation type="list" allowBlank="1" showInputMessage="1" showErrorMessage="1" sqref="B4:B6" xr:uid="{ACA6ED1D-005F-41D4-A2F8-2A9074DFA857}">
      <formula1>$Q$3:$Q$6</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9C4B6-AA55-46CD-90BD-9F699C83AF39}">
  <dimension ref="B1:F10"/>
  <sheetViews>
    <sheetView topLeftCell="A11" zoomScale="130" zoomScaleNormal="130" workbookViewId="0">
      <selection activeCell="D8" sqref="D8"/>
    </sheetView>
  </sheetViews>
  <sheetFormatPr defaultRowHeight="16.5" x14ac:dyDescent="0.3"/>
  <cols>
    <col min="2" max="2" width="2.625" bestFit="1" customWidth="1"/>
    <col min="3" max="3" width="17.75" bestFit="1" customWidth="1"/>
    <col min="4" max="4" width="30" bestFit="1" customWidth="1"/>
    <col min="5" max="5" width="16.875" bestFit="1" customWidth="1"/>
    <col min="6" max="6" width="5.25" bestFit="1" customWidth="1"/>
  </cols>
  <sheetData>
    <row r="1" spans="2:6" ht="17.25" thickBot="1" x14ac:dyDescent="0.35"/>
    <row r="2" spans="2:6" x14ac:dyDescent="0.3">
      <c r="B2" s="91" t="s">
        <v>134</v>
      </c>
      <c r="C2" s="92" t="s">
        <v>135</v>
      </c>
      <c r="D2" s="93" t="s">
        <v>136</v>
      </c>
      <c r="E2" s="93" t="s">
        <v>137</v>
      </c>
      <c r="F2" s="94" t="s">
        <v>138</v>
      </c>
    </row>
    <row r="3" spans="2:6" ht="49.5" x14ac:dyDescent="0.3">
      <c r="B3" s="95">
        <v>1</v>
      </c>
      <c r="C3" s="10" t="s">
        <v>139</v>
      </c>
      <c r="D3" s="96" t="s">
        <v>140</v>
      </c>
      <c r="E3" s="96" t="s">
        <v>141</v>
      </c>
      <c r="F3" s="97"/>
    </row>
    <row r="4" spans="2:6" x14ac:dyDescent="0.3">
      <c r="B4" s="95">
        <v>2</v>
      </c>
      <c r="C4" s="10" t="s">
        <v>142</v>
      </c>
      <c r="D4" s="98" t="s">
        <v>143</v>
      </c>
      <c r="E4" s="98" t="s">
        <v>143</v>
      </c>
      <c r="F4" s="99"/>
    </row>
    <row r="5" spans="2:6" ht="66" x14ac:dyDescent="0.3">
      <c r="B5" s="95">
        <v>3</v>
      </c>
      <c r="C5" s="10" t="s">
        <v>144</v>
      </c>
      <c r="D5" s="96" t="s">
        <v>145</v>
      </c>
      <c r="E5" s="96" t="s">
        <v>146</v>
      </c>
      <c r="F5" s="100"/>
    </row>
    <row r="6" spans="2:6" x14ac:dyDescent="0.3">
      <c r="B6" s="95">
        <v>4</v>
      </c>
      <c r="C6" s="10" t="s">
        <v>147</v>
      </c>
      <c r="D6" s="101" t="s">
        <v>148</v>
      </c>
      <c r="E6" s="101" t="s">
        <v>148</v>
      </c>
      <c r="F6" s="100"/>
    </row>
    <row r="7" spans="2:6" x14ac:dyDescent="0.3">
      <c r="B7" s="95">
        <v>5</v>
      </c>
      <c r="C7" s="10" t="s">
        <v>149</v>
      </c>
      <c r="D7" s="101" t="s">
        <v>150</v>
      </c>
      <c r="E7" s="101"/>
      <c r="F7" s="100"/>
    </row>
    <row r="8" spans="2:6" ht="33" x14ac:dyDescent="0.3">
      <c r="B8" s="95">
        <v>6</v>
      </c>
      <c r="C8" s="10" t="s">
        <v>151</v>
      </c>
      <c r="D8" s="96" t="s">
        <v>152</v>
      </c>
      <c r="E8" s="96"/>
      <c r="F8" s="100"/>
    </row>
    <row r="9" spans="2:6" ht="33" x14ac:dyDescent="0.3">
      <c r="B9" s="102">
        <v>7</v>
      </c>
      <c r="C9" s="103" t="s">
        <v>153</v>
      </c>
      <c r="D9" s="104" t="s">
        <v>154</v>
      </c>
      <c r="E9" s="104" t="s">
        <v>154</v>
      </c>
      <c r="F9" s="105"/>
    </row>
    <row r="10" spans="2:6" ht="50.25" thickBot="1" x14ac:dyDescent="0.35">
      <c r="B10" s="106">
        <v>8</v>
      </c>
      <c r="C10" s="107" t="s">
        <v>155</v>
      </c>
      <c r="D10" s="108" t="s">
        <v>156</v>
      </c>
      <c r="E10" s="109" t="s">
        <v>157</v>
      </c>
      <c r="F10" s="110"/>
    </row>
  </sheetData>
  <phoneticPr fontId="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24A3B-CCDC-470F-936C-94880B00BBC4}">
  <sheetPr codeName="Sheet4"/>
  <dimension ref="B3:V54"/>
  <sheetViews>
    <sheetView zoomScale="70" zoomScaleNormal="70" workbookViewId="0">
      <selection activeCell="C16" sqref="C16"/>
    </sheetView>
  </sheetViews>
  <sheetFormatPr defaultRowHeight="16.5" x14ac:dyDescent="0.3"/>
  <cols>
    <col min="2" max="2" width="14.125" customWidth="1"/>
    <col min="3" max="3" width="50.75" customWidth="1"/>
    <col min="4" max="4" width="13.875" bestFit="1" customWidth="1"/>
    <col min="5" max="5" width="12.125" bestFit="1" customWidth="1"/>
    <col min="6" max="6" width="4.75" bestFit="1" customWidth="1"/>
    <col min="7" max="7" width="9.75" bestFit="1" customWidth="1"/>
    <col min="8" max="8" width="11.25" bestFit="1" customWidth="1"/>
    <col min="9" max="9" width="5.125" bestFit="1" customWidth="1"/>
    <col min="10" max="10" width="4.75" bestFit="1" customWidth="1"/>
    <col min="11" max="11" width="12.25" bestFit="1" customWidth="1"/>
    <col min="12" max="12" width="5.125" bestFit="1" customWidth="1"/>
    <col min="13" max="13" width="4.75" bestFit="1" customWidth="1"/>
    <col min="14" max="14" width="12.5" bestFit="1" customWidth="1"/>
    <col min="15" max="15" width="7.875" bestFit="1" customWidth="1"/>
  </cols>
  <sheetData>
    <row r="3" spans="2:22" ht="31.5" x14ac:dyDescent="0.3">
      <c r="B3" s="11" t="s">
        <v>1</v>
      </c>
      <c r="C3" s="12"/>
      <c r="D3" s="12"/>
      <c r="R3">
        <v>1875</v>
      </c>
      <c r="S3">
        <v>1500</v>
      </c>
      <c r="U3">
        <v>1951</v>
      </c>
      <c r="V3">
        <v>1576</v>
      </c>
    </row>
    <row r="4" spans="2:22" ht="16.5" customHeight="1" x14ac:dyDescent="0.3">
      <c r="B4" s="135" t="s">
        <v>2</v>
      </c>
      <c r="C4" s="135" t="s">
        <v>3</v>
      </c>
      <c r="D4" s="135" t="s">
        <v>4</v>
      </c>
      <c r="E4" s="137" t="s">
        <v>5</v>
      </c>
      <c r="F4" s="138"/>
      <c r="G4" s="139" t="s">
        <v>6</v>
      </c>
      <c r="H4" s="135" t="s">
        <v>7</v>
      </c>
      <c r="I4" s="137" t="s">
        <v>8</v>
      </c>
      <c r="J4" s="138"/>
      <c r="K4" s="139" t="s">
        <v>9</v>
      </c>
      <c r="L4" s="137" t="s">
        <v>10</v>
      </c>
      <c r="M4" s="138"/>
      <c r="N4" s="139" t="s">
        <v>11</v>
      </c>
      <c r="O4" s="139" t="s">
        <v>12</v>
      </c>
      <c r="R4">
        <f>R3/2</f>
        <v>937.5</v>
      </c>
      <c r="S4">
        <f>S3/2</f>
        <v>750</v>
      </c>
      <c r="U4">
        <f>U3/2</f>
        <v>975.5</v>
      </c>
      <c r="V4">
        <f>V3/2</f>
        <v>788</v>
      </c>
    </row>
    <row r="5" spans="2:22" x14ac:dyDescent="0.3">
      <c r="B5" s="142"/>
      <c r="C5" s="142"/>
      <c r="D5" s="142"/>
      <c r="E5" s="13" t="s">
        <v>13</v>
      </c>
      <c r="F5" s="13" t="s">
        <v>14</v>
      </c>
      <c r="G5" s="141"/>
      <c r="H5" s="142"/>
      <c r="I5" s="13" t="s">
        <v>13</v>
      </c>
      <c r="J5" s="13" t="s">
        <v>14</v>
      </c>
      <c r="K5" s="141"/>
      <c r="L5" s="13" t="s">
        <v>13</v>
      </c>
      <c r="M5" s="13" t="s">
        <v>14</v>
      </c>
      <c r="N5" s="141"/>
      <c r="O5" s="141"/>
    </row>
    <row r="6" spans="2:22" x14ac:dyDescent="0.3">
      <c r="B6" s="14">
        <v>1</v>
      </c>
      <c r="C6" s="15" t="s">
        <v>15</v>
      </c>
      <c r="D6" s="15" t="s">
        <v>16</v>
      </c>
      <c r="E6" s="15"/>
      <c r="F6" s="15"/>
      <c r="G6" s="15"/>
      <c r="H6" s="15"/>
      <c r="I6" s="15"/>
      <c r="J6" s="15"/>
      <c r="K6" s="15"/>
      <c r="L6" s="15"/>
      <c r="M6" s="15"/>
      <c r="N6" s="15"/>
      <c r="O6" s="15"/>
      <c r="U6">
        <f>U3-R3</f>
        <v>76</v>
      </c>
      <c r="V6">
        <f>V3-S3</f>
        <v>76</v>
      </c>
    </row>
    <row r="7" spans="2:22" x14ac:dyDescent="0.3">
      <c r="B7" s="14">
        <v>2</v>
      </c>
      <c r="C7" s="15" t="s">
        <v>17</v>
      </c>
      <c r="D7" s="15" t="s">
        <v>16</v>
      </c>
      <c r="E7" s="15"/>
      <c r="F7" s="15"/>
      <c r="G7" s="15"/>
      <c r="H7" s="15"/>
      <c r="I7" s="15"/>
      <c r="J7" s="15"/>
      <c r="K7" s="15"/>
      <c r="L7" s="15"/>
      <c r="M7" s="15"/>
      <c r="N7" s="15"/>
      <c r="O7" s="15"/>
    </row>
    <row r="8" spans="2:22" x14ac:dyDescent="0.3">
      <c r="B8" s="14">
        <v>3</v>
      </c>
      <c r="C8" s="15" t="s">
        <v>18</v>
      </c>
      <c r="D8" s="15" t="s">
        <v>19</v>
      </c>
      <c r="E8" s="15"/>
      <c r="F8" s="15"/>
      <c r="G8" s="15"/>
      <c r="H8" s="15"/>
      <c r="I8" s="15"/>
      <c r="J8" s="15"/>
      <c r="K8" s="15"/>
      <c r="L8" s="15"/>
      <c r="M8" s="15"/>
      <c r="N8" s="15"/>
      <c r="O8" s="15"/>
    </row>
    <row r="9" spans="2:22" x14ac:dyDescent="0.3">
      <c r="B9" s="14">
        <v>4</v>
      </c>
      <c r="C9" s="15" t="s">
        <v>20</v>
      </c>
      <c r="D9" s="15" t="s">
        <v>21</v>
      </c>
      <c r="E9" s="15"/>
      <c r="F9" s="15"/>
      <c r="G9" s="15"/>
      <c r="H9" s="15"/>
      <c r="I9" s="15"/>
      <c r="J9" s="15"/>
      <c r="K9" s="15"/>
      <c r="L9" s="15"/>
      <c r="M9" s="15"/>
      <c r="N9" s="15"/>
      <c r="O9" s="15"/>
    </row>
    <row r="10" spans="2:22" x14ac:dyDescent="0.3">
      <c r="B10" s="14">
        <v>5</v>
      </c>
      <c r="C10" s="15" t="s">
        <v>22</v>
      </c>
      <c r="D10" s="15" t="s">
        <v>21</v>
      </c>
      <c r="E10" s="15"/>
      <c r="F10" s="15"/>
      <c r="G10" s="15"/>
      <c r="H10" s="15"/>
      <c r="I10" s="15"/>
      <c r="J10" s="15"/>
      <c r="K10" s="15"/>
      <c r="L10" s="15"/>
      <c r="M10" s="15"/>
      <c r="N10" s="15"/>
      <c r="O10" s="15"/>
    </row>
    <row r="11" spans="2:22" x14ac:dyDescent="0.3">
      <c r="B11" s="14">
        <v>6</v>
      </c>
      <c r="C11" s="15" t="s">
        <v>23</v>
      </c>
      <c r="D11" s="15" t="s">
        <v>24</v>
      </c>
      <c r="E11" s="15"/>
      <c r="F11" s="15"/>
      <c r="G11" s="15"/>
      <c r="H11" s="15"/>
      <c r="I11" s="15"/>
      <c r="J11" s="15"/>
      <c r="K11" s="15"/>
      <c r="L11" s="15"/>
      <c r="M11" s="15"/>
      <c r="N11" s="15"/>
      <c r="O11" s="15"/>
    </row>
    <row r="12" spans="2:22" x14ac:dyDescent="0.3">
      <c r="B12" s="14">
        <v>7</v>
      </c>
      <c r="C12" s="15" t="s">
        <v>25</v>
      </c>
      <c r="D12" s="15" t="s">
        <v>26</v>
      </c>
      <c r="E12" s="15"/>
      <c r="F12" s="15"/>
      <c r="G12" s="15"/>
      <c r="H12" s="15"/>
      <c r="I12" s="15"/>
      <c r="J12" s="15"/>
      <c r="K12" s="15"/>
      <c r="L12" s="15"/>
      <c r="M12" s="15"/>
      <c r="N12" s="15"/>
      <c r="O12" s="15"/>
    </row>
    <row r="13" spans="2:22" x14ac:dyDescent="0.3">
      <c r="B13" s="14">
        <v>8</v>
      </c>
      <c r="C13" s="15" t="s">
        <v>27</v>
      </c>
      <c r="D13" s="15" t="s">
        <v>28</v>
      </c>
      <c r="E13" s="15"/>
      <c r="F13" s="15"/>
      <c r="G13" s="15"/>
      <c r="H13" s="15"/>
      <c r="I13" s="15"/>
      <c r="J13" s="15"/>
      <c r="K13" s="15"/>
      <c r="L13" s="15"/>
      <c r="M13" s="15"/>
      <c r="N13" s="15"/>
      <c r="O13" s="15"/>
    </row>
    <row r="14" spans="2:22" x14ac:dyDescent="0.3">
      <c r="B14" s="14">
        <v>9</v>
      </c>
      <c r="C14" s="15" t="s">
        <v>29</v>
      </c>
      <c r="D14" s="15" t="s">
        <v>16</v>
      </c>
      <c r="E14" s="15"/>
      <c r="F14" s="15"/>
      <c r="G14" s="15"/>
      <c r="H14" s="15"/>
      <c r="I14" s="15"/>
      <c r="J14" s="15"/>
      <c r="K14" s="15"/>
      <c r="L14" s="15"/>
      <c r="M14" s="15"/>
      <c r="N14" s="15"/>
      <c r="O14" s="15"/>
    </row>
    <row r="15" spans="2:22" x14ac:dyDescent="0.3">
      <c r="B15" s="14">
        <v>10</v>
      </c>
      <c r="C15" s="15" t="s">
        <v>30</v>
      </c>
      <c r="D15" s="15" t="s">
        <v>21</v>
      </c>
      <c r="E15" s="15"/>
      <c r="F15" s="15"/>
      <c r="G15" s="15"/>
      <c r="H15" s="15"/>
      <c r="I15" s="15"/>
      <c r="J15" s="15"/>
      <c r="K15" s="15"/>
      <c r="L15" s="15"/>
      <c r="M15" s="15"/>
      <c r="N15" s="15"/>
      <c r="O15" s="15"/>
    </row>
    <row r="16" spans="2:22" x14ac:dyDescent="0.3">
      <c r="B16" s="14">
        <v>11</v>
      </c>
      <c r="C16" s="15" t="s">
        <v>31</v>
      </c>
      <c r="D16" s="15" t="s">
        <v>24</v>
      </c>
      <c r="E16" s="15"/>
      <c r="F16" s="15"/>
      <c r="G16" s="15"/>
      <c r="H16" s="15"/>
      <c r="I16" s="15"/>
      <c r="J16" s="15"/>
      <c r="K16" s="15"/>
      <c r="L16" s="15"/>
      <c r="M16" s="15"/>
      <c r="N16" s="15"/>
      <c r="O16" s="15"/>
    </row>
    <row r="17" spans="2:15" x14ac:dyDescent="0.3">
      <c r="B17" s="14">
        <v>12</v>
      </c>
      <c r="C17" s="15" t="s">
        <v>32</v>
      </c>
      <c r="D17" s="15" t="s">
        <v>28</v>
      </c>
      <c r="E17" s="15"/>
      <c r="F17" s="15"/>
      <c r="G17" s="15"/>
      <c r="H17" s="15"/>
      <c r="I17" s="15"/>
      <c r="J17" s="15"/>
      <c r="K17" s="15"/>
      <c r="L17" s="15"/>
      <c r="M17" s="15"/>
      <c r="N17" s="15"/>
      <c r="O17" s="15"/>
    </row>
    <row r="18" spans="2:15" x14ac:dyDescent="0.3">
      <c r="B18" s="14">
        <v>13</v>
      </c>
      <c r="C18" s="15" t="s">
        <v>33</v>
      </c>
      <c r="D18" s="15" t="s">
        <v>34</v>
      </c>
      <c r="E18" s="15"/>
      <c r="F18" s="15"/>
      <c r="G18" s="15"/>
      <c r="H18" s="15"/>
      <c r="I18" s="15"/>
      <c r="J18" s="15"/>
      <c r="K18" s="15"/>
      <c r="L18" s="15"/>
      <c r="M18" s="15"/>
      <c r="N18" s="15"/>
      <c r="O18" s="15"/>
    </row>
    <row r="19" spans="2:15" x14ac:dyDescent="0.3">
      <c r="B19" s="14">
        <v>14</v>
      </c>
      <c r="C19" s="15" t="s">
        <v>35</v>
      </c>
      <c r="D19" s="15" t="s">
        <v>16</v>
      </c>
      <c r="E19" s="15"/>
      <c r="F19" s="15"/>
      <c r="G19" s="15"/>
      <c r="H19" s="15"/>
      <c r="I19" s="15"/>
      <c r="J19" s="15"/>
      <c r="K19" s="15"/>
      <c r="L19" s="15"/>
      <c r="M19" s="15"/>
      <c r="N19" s="15"/>
      <c r="O19" s="15"/>
    </row>
    <row r="23" spans="2:15" ht="31.5" x14ac:dyDescent="0.3">
      <c r="B23" s="11" t="s">
        <v>36</v>
      </c>
      <c r="C23" s="12"/>
      <c r="D23" s="12"/>
    </row>
    <row r="24" spans="2:15" x14ac:dyDescent="0.3">
      <c r="B24" s="135" t="s">
        <v>2</v>
      </c>
      <c r="C24" s="135" t="s">
        <v>37</v>
      </c>
      <c r="D24" s="135" t="s">
        <v>4</v>
      </c>
      <c r="E24" s="137" t="s">
        <v>5</v>
      </c>
      <c r="F24" s="138"/>
      <c r="G24" s="139" t="s">
        <v>6</v>
      </c>
      <c r="H24" s="135" t="s">
        <v>7</v>
      </c>
      <c r="I24" s="137" t="s">
        <v>8</v>
      </c>
      <c r="J24" s="138"/>
      <c r="K24" s="139" t="s">
        <v>9</v>
      </c>
      <c r="L24" s="137" t="s">
        <v>10</v>
      </c>
      <c r="M24" s="138"/>
      <c r="N24" s="139" t="s">
        <v>11</v>
      </c>
      <c r="O24" s="139" t="s">
        <v>12</v>
      </c>
    </row>
    <row r="25" spans="2:15" x14ac:dyDescent="0.3">
      <c r="B25" s="136"/>
      <c r="C25" s="136"/>
      <c r="D25" s="136"/>
      <c r="E25" s="16" t="s">
        <v>13</v>
      </c>
      <c r="F25" s="16" t="s">
        <v>14</v>
      </c>
      <c r="G25" s="140"/>
      <c r="H25" s="136"/>
      <c r="I25" s="16" t="s">
        <v>13</v>
      </c>
      <c r="J25" s="16" t="s">
        <v>14</v>
      </c>
      <c r="K25" s="140"/>
      <c r="L25" s="16" t="s">
        <v>13</v>
      </c>
      <c r="M25" s="16" t="s">
        <v>14</v>
      </c>
      <c r="N25" s="140"/>
      <c r="O25" s="140"/>
    </row>
    <row r="26" spans="2:15" x14ac:dyDescent="0.3">
      <c r="B26" s="17">
        <v>1</v>
      </c>
      <c r="C26" s="18" t="s">
        <v>38</v>
      </c>
      <c r="D26" s="19" t="s">
        <v>16</v>
      </c>
      <c r="E26" s="19"/>
      <c r="F26" s="19"/>
      <c r="G26" s="19"/>
      <c r="H26" s="19"/>
      <c r="I26" s="19"/>
      <c r="J26" s="19"/>
      <c r="K26" s="19"/>
      <c r="L26" s="19"/>
      <c r="M26" s="19"/>
      <c r="N26" s="19"/>
      <c r="O26" s="19"/>
    </row>
    <row r="27" spans="2:15" x14ac:dyDescent="0.3">
      <c r="B27" s="17">
        <v>2</v>
      </c>
      <c r="C27" s="18" t="s">
        <v>39</v>
      </c>
      <c r="D27" s="19" t="s">
        <v>16</v>
      </c>
      <c r="E27" s="19"/>
      <c r="F27" s="19"/>
      <c r="G27" s="19"/>
      <c r="H27" s="19"/>
      <c r="I27" s="19"/>
      <c r="J27" s="19"/>
      <c r="K27" s="19"/>
      <c r="L27" s="19"/>
      <c r="M27" s="19"/>
      <c r="N27" s="19"/>
      <c r="O27" s="19"/>
    </row>
    <row r="28" spans="2:15" x14ac:dyDescent="0.3">
      <c r="B28" s="17">
        <v>3</v>
      </c>
      <c r="C28" s="18" t="s">
        <v>40</v>
      </c>
      <c r="D28" s="19" t="s">
        <v>19</v>
      </c>
      <c r="E28" s="19"/>
      <c r="F28" s="19"/>
      <c r="G28" s="19"/>
      <c r="H28" s="19"/>
      <c r="I28" s="19"/>
      <c r="J28" s="19"/>
      <c r="K28" s="19"/>
      <c r="L28" s="19"/>
      <c r="M28" s="19"/>
      <c r="N28" s="19"/>
      <c r="O28" s="19"/>
    </row>
    <row r="29" spans="2:15" x14ac:dyDescent="0.3">
      <c r="B29" s="17">
        <v>4</v>
      </c>
      <c r="C29" s="18" t="s">
        <v>41</v>
      </c>
      <c r="D29" s="19" t="s">
        <v>21</v>
      </c>
      <c r="E29" s="19"/>
      <c r="F29" s="19"/>
      <c r="G29" s="19"/>
      <c r="H29" s="19"/>
      <c r="I29" s="19"/>
      <c r="J29" s="19"/>
      <c r="K29" s="19"/>
      <c r="L29" s="19"/>
      <c r="M29" s="19"/>
      <c r="N29" s="19"/>
      <c r="O29" s="19"/>
    </row>
    <row r="30" spans="2:15" x14ac:dyDescent="0.3">
      <c r="B30" s="17">
        <v>5</v>
      </c>
      <c r="C30" s="18" t="s">
        <v>42</v>
      </c>
      <c r="D30" s="19" t="s">
        <v>21</v>
      </c>
      <c r="E30" s="19"/>
      <c r="F30" s="19"/>
      <c r="G30" s="19"/>
      <c r="H30" s="19"/>
      <c r="I30" s="19"/>
      <c r="J30" s="19"/>
      <c r="K30" s="19"/>
      <c r="L30" s="19"/>
      <c r="M30" s="19"/>
      <c r="N30" s="19"/>
      <c r="O30" s="19"/>
    </row>
    <row r="31" spans="2:15" x14ac:dyDescent="0.3">
      <c r="B31" s="17">
        <v>6</v>
      </c>
      <c r="C31" s="18" t="s">
        <v>43</v>
      </c>
      <c r="D31" s="19" t="s">
        <v>24</v>
      </c>
      <c r="E31" s="19"/>
      <c r="F31" s="19"/>
      <c r="G31" s="19"/>
      <c r="H31" s="19"/>
      <c r="I31" s="19"/>
      <c r="J31" s="19"/>
      <c r="K31" s="19"/>
      <c r="L31" s="19"/>
      <c r="M31" s="19"/>
      <c r="N31" s="19"/>
      <c r="O31" s="19"/>
    </row>
    <row r="32" spans="2:15" x14ac:dyDescent="0.3">
      <c r="B32" s="17">
        <v>7</v>
      </c>
      <c r="C32" s="18" t="s">
        <v>44</v>
      </c>
      <c r="D32" s="19" t="s">
        <v>26</v>
      </c>
      <c r="E32" s="19"/>
      <c r="F32" s="19"/>
      <c r="G32" s="19"/>
      <c r="H32" s="19"/>
      <c r="I32" s="19"/>
      <c r="J32" s="19"/>
      <c r="K32" s="19"/>
      <c r="L32" s="19"/>
      <c r="M32" s="19"/>
      <c r="N32" s="19"/>
      <c r="O32" s="19"/>
    </row>
    <row r="33" spans="2:15" x14ac:dyDescent="0.3">
      <c r="B33" s="17">
        <v>8</v>
      </c>
      <c r="C33" s="18" t="s">
        <v>45</v>
      </c>
      <c r="D33" s="19" t="s">
        <v>28</v>
      </c>
      <c r="E33" s="19"/>
      <c r="F33" s="19"/>
      <c r="G33" s="19"/>
      <c r="H33" s="19"/>
      <c r="I33" s="19"/>
      <c r="J33" s="19"/>
      <c r="K33" s="19"/>
      <c r="L33" s="19"/>
      <c r="M33" s="19"/>
      <c r="N33" s="19"/>
      <c r="O33" s="19"/>
    </row>
    <row r="34" spans="2:15" x14ac:dyDescent="0.3">
      <c r="B34" s="17">
        <v>9</v>
      </c>
      <c r="C34" s="18" t="s">
        <v>46</v>
      </c>
      <c r="D34" s="19" t="s">
        <v>16</v>
      </c>
      <c r="E34" s="19"/>
      <c r="F34" s="19"/>
      <c r="G34" s="19"/>
      <c r="H34" s="19"/>
      <c r="I34" s="19"/>
      <c r="J34" s="19"/>
      <c r="K34" s="19"/>
      <c r="L34" s="19"/>
      <c r="M34" s="19"/>
      <c r="N34" s="19"/>
      <c r="O34" s="19"/>
    </row>
    <row r="35" spans="2:15" x14ac:dyDescent="0.3">
      <c r="B35" s="17">
        <v>10</v>
      </c>
      <c r="C35" s="18" t="s">
        <v>47</v>
      </c>
      <c r="D35" s="19" t="s">
        <v>21</v>
      </c>
      <c r="E35" s="19"/>
      <c r="F35" s="19"/>
      <c r="G35" s="19"/>
      <c r="H35" s="19"/>
      <c r="I35" s="19"/>
      <c r="J35" s="19"/>
      <c r="K35" s="19"/>
      <c r="L35" s="19"/>
      <c r="M35" s="19"/>
      <c r="N35" s="19"/>
      <c r="O35" s="19"/>
    </row>
    <row r="36" spans="2:15" x14ac:dyDescent="0.3">
      <c r="B36" s="17">
        <v>11</v>
      </c>
      <c r="C36" s="18" t="s">
        <v>48</v>
      </c>
      <c r="D36" s="19" t="s">
        <v>24</v>
      </c>
      <c r="E36" s="19"/>
      <c r="F36" s="19"/>
      <c r="G36" s="19"/>
      <c r="H36" s="19"/>
      <c r="I36" s="19"/>
      <c r="J36" s="19"/>
      <c r="K36" s="19"/>
      <c r="L36" s="19"/>
      <c r="M36" s="19"/>
      <c r="N36" s="19"/>
      <c r="O36" s="19"/>
    </row>
    <row r="37" spans="2:15" x14ac:dyDescent="0.3">
      <c r="B37" s="17">
        <v>12</v>
      </c>
      <c r="C37" s="18" t="s">
        <v>49</v>
      </c>
      <c r="D37" s="19" t="s">
        <v>28</v>
      </c>
      <c r="E37" s="19"/>
      <c r="F37" s="19"/>
      <c r="G37" s="19"/>
      <c r="H37" s="19"/>
      <c r="I37" s="19"/>
      <c r="J37" s="19"/>
      <c r="K37" s="19"/>
      <c r="L37" s="19"/>
      <c r="M37" s="19"/>
      <c r="N37" s="19"/>
      <c r="O37" s="19"/>
    </row>
    <row r="38" spans="2:15" x14ac:dyDescent="0.3">
      <c r="B38" s="17">
        <v>13</v>
      </c>
      <c r="C38" s="18" t="s">
        <v>50</v>
      </c>
      <c r="D38" s="19" t="s">
        <v>34</v>
      </c>
      <c r="E38" s="19"/>
      <c r="F38" s="19"/>
      <c r="G38" s="19"/>
      <c r="H38" s="19"/>
      <c r="I38" s="19"/>
      <c r="J38" s="19"/>
      <c r="K38" s="19"/>
      <c r="L38" s="19"/>
      <c r="M38" s="19"/>
      <c r="N38" s="19"/>
      <c r="O38" s="19"/>
    </row>
    <row r="39" spans="2:15" x14ac:dyDescent="0.3">
      <c r="B39" s="17">
        <v>14</v>
      </c>
      <c r="C39" s="18" t="s">
        <v>51</v>
      </c>
      <c r="D39" s="19" t="s">
        <v>16</v>
      </c>
      <c r="E39" s="19"/>
      <c r="F39" s="19"/>
      <c r="G39" s="19"/>
      <c r="H39" s="19"/>
      <c r="I39" s="19"/>
      <c r="J39" s="19"/>
      <c r="K39" s="19"/>
      <c r="L39" s="19"/>
      <c r="M39" s="19"/>
      <c r="N39" s="19"/>
      <c r="O39" s="19"/>
    </row>
    <row r="40" spans="2:15" x14ac:dyDescent="0.3">
      <c r="B40" s="17">
        <v>15</v>
      </c>
      <c r="C40" s="18" t="s">
        <v>52</v>
      </c>
      <c r="D40" s="10"/>
      <c r="E40" s="10"/>
      <c r="F40" s="10"/>
      <c r="G40" s="10"/>
      <c r="H40" s="10"/>
      <c r="I40" s="10"/>
      <c r="J40" s="10"/>
      <c r="K40" s="10"/>
      <c r="L40" s="10"/>
      <c r="M40" s="10"/>
      <c r="N40" s="10"/>
      <c r="O40" s="10"/>
    </row>
    <row r="41" spans="2:15" x14ac:dyDescent="0.3">
      <c r="B41" s="17">
        <v>16</v>
      </c>
      <c r="C41" s="18" t="s">
        <v>53</v>
      </c>
      <c r="D41" s="10"/>
      <c r="E41" s="10"/>
      <c r="F41" s="10"/>
      <c r="G41" s="10"/>
      <c r="H41" s="10"/>
      <c r="I41" s="10"/>
      <c r="J41" s="10"/>
      <c r="K41" s="10"/>
      <c r="L41" s="10"/>
      <c r="M41" s="10"/>
      <c r="N41" s="10"/>
      <c r="O41" s="10"/>
    </row>
    <row r="42" spans="2:15" x14ac:dyDescent="0.3">
      <c r="B42" s="17">
        <v>17</v>
      </c>
      <c r="C42" s="18" t="s">
        <v>54</v>
      </c>
      <c r="D42" s="10"/>
      <c r="E42" s="10"/>
      <c r="F42" s="10"/>
      <c r="G42" s="10"/>
      <c r="H42" s="10"/>
      <c r="I42" s="10"/>
      <c r="J42" s="10"/>
      <c r="K42" s="10"/>
      <c r="L42" s="10"/>
      <c r="M42" s="10"/>
      <c r="N42" s="10"/>
      <c r="O42" s="10"/>
    </row>
    <row r="43" spans="2:15" x14ac:dyDescent="0.3">
      <c r="B43" s="17">
        <v>18</v>
      </c>
      <c r="C43" s="18" t="s">
        <v>55</v>
      </c>
      <c r="D43" s="10"/>
      <c r="E43" s="10"/>
      <c r="F43" s="10"/>
      <c r="G43" s="10"/>
      <c r="H43" s="10"/>
      <c r="I43" s="10"/>
      <c r="J43" s="10"/>
      <c r="K43" s="10"/>
      <c r="L43" s="10"/>
      <c r="M43" s="10"/>
      <c r="N43" s="10"/>
      <c r="O43" s="10"/>
    </row>
    <row r="44" spans="2:15" x14ac:dyDescent="0.3">
      <c r="B44" s="17">
        <v>19</v>
      </c>
      <c r="C44" s="18" t="s">
        <v>56</v>
      </c>
      <c r="D44" s="10"/>
      <c r="E44" s="10"/>
      <c r="F44" s="10"/>
      <c r="G44" s="10"/>
      <c r="H44" s="10"/>
      <c r="I44" s="10"/>
      <c r="J44" s="10"/>
      <c r="K44" s="10"/>
      <c r="L44" s="10"/>
      <c r="M44" s="10"/>
      <c r="N44" s="10"/>
      <c r="O44" s="10"/>
    </row>
    <row r="45" spans="2:15" x14ac:dyDescent="0.3">
      <c r="B45" s="17">
        <v>20</v>
      </c>
      <c r="C45" s="18" t="s">
        <v>57</v>
      </c>
      <c r="D45" s="10"/>
      <c r="E45" s="10"/>
      <c r="F45" s="10"/>
      <c r="G45" s="10"/>
      <c r="H45" s="10"/>
      <c r="I45" s="10"/>
      <c r="J45" s="10"/>
      <c r="K45" s="10"/>
      <c r="L45" s="10"/>
      <c r="M45" s="10"/>
      <c r="N45" s="10"/>
      <c r="O45" s="10"/>
    </row>
    <row r="46" spans="2:15" ht="33" x14ac:dyDescent="0.3">
      <c r="B46" s="17">
        <v>21</v>
      </c>
      <c r="C46" s="20" t="s">
        <v>58</v>
      </c>
      <c r="D46" s="10"/>
      <c r="E46" s="10"/>
      <c r="F46" s="10"/>
      <c r="G46" s="10"/>
      <c r="H46" s="10"/>
      <c r="I46" s="10"/>
      <c r="J46" s="10"/>
      <c r="K46" s="10"/>
      <c r="L46" s="10"/>
      <c r="M46" s="10"/>
      <c r="N46" s="10"/>
      <c r="O46" s="10"/>
    </row>
    <row r="47" spans="2:15" x14ac:dyDescent="0.3">
      <c r="B47" s="17">
        <v>23</v>
      </c>
      <c r="C47" s="10" t="s">
        <v>59</v>
      </c>
      <c r="D47" s="10"/>
      <c r="E47" s="10"/>
      <c r="F47" s="10"/>
      <c r="G47" s="10"/>
      <c r="H47" s="10"/>
      <c r="I47" s="10"/>
      <c r="J47" s="10"/>
      <c r="K47" s="10"/>
      <c r="L47" s="10"/>
      <c r="M47" s="10"/>
      <c r="N47" s="10"/>
      <c r="O47" s="10"/>
    </row>
    <row r="48" spans="2:15" x14ac:dyDescent="0.3">
      <c r="B48" s="17">
        <v>24</v>
      </c>
      <c r="C48" s="10" t="s">
        <v>60</v>
      </c>
      <c r="D48" s="10"/>
      <c r="E48" s="10"/>
      <c r="F48" s="10"/>
      <c r="G48" s="10"/>
      <c r="H48" s="10"/>
      <c r="I48" s="10"/>
      <c r="J48" s="10"/>
      <c r="K48" s="10"/>
      <c r="L48" s="10"/>
      <c r="M48" s="10"/>
      <c r="N48" s="10"/>
      <c r="O48" s="10"/>
    </row>
    <row r="49" spans="2:15" x14ac:dyDescent="0.3">
      <c r="B49" s="17">
        <v>25</v>
      </c>
      <c r="C49" s="10" t="s">
        <v>61</v>
      </c>
      <c r="D49" s="10"/>
      <c r="E49" s="10"/>
      <c r="F49" s="10"/>
      <c r="G49" s="10"/>
      <c r="H49" s="10"/>
      <c r="I49" s="10"/>
      <c r="J49" s="10"/>
      <c r="K49" s="10"/>
      <c r="L49" s="10"/>
      <c r="M49" s="10"/>
      <c r="N49" s="10"/>
      <c r="O49" s="10"/>
    </row>
    <row r="50" spans="2:15" x14ac:dyDescent="0.3">
      <c r="B50" s="17">
        <v>26</v>
      </c>
      <c r="C50" s="10" t="s">
        <v>62</v>
      </c>
      <c r="D50" s="10"/>
      <c r="E50" s="10"/>
      <c r="F50" s="10"/>
      <c r="G50" s="10"/>
      <c r="H50" s="10"/>
      <c r="I50" s="10"/>
      <c r="J50" s="10"/>
      <c r="K50" s="10"/>
      <c r="L50" s="10"/>
      <c r="M50" s="10"/>
      <c r="N50" s="10"/>
      <c r="O50" s="10"/>
    </row>
    <row r="51" spans="2:15" x14ac:dyDescent="0.3">
      <c r="B51" s="17">
        <v>27</v>
      </c>
      <c r="C51" s="10" t="s">
        <v>63</v>
      </c>
      <c r="D51" s="10"/>
      <c r="E51" s="10"/>
      <c r="F51" s="10"/>
      <c r="G51" s="10"/>
      <c r="H51" s="10"/>
      <c r="I51" s="10"/>
      <c r="J51" s="10"/>
      <c r="K51" s="10"/>
      <c r="L51" s="10"/>
      <c r="M51" s="10"/>
      <c r="N51" s="10"/>
      <c r="O51" s="10"/>
    </row>
    <row r="52" spans="2:15" x14ac:dyDescent="0.3">
      <c r="B52" s="17">
        <v>28</v>
      </c>
      <c r="C52" s="10" t="s">
        <v>64</v>
      </c>
      <c r="D52" s="10"/>
      <c r="E52" s="10"/>
      <c r="F52" s="10"/>
      <c r="G52" s="10"/>
      <c r="H52" s="10"/>
      <c r="I52" s="10"/>
      <c r="J52" s="10"/>
      <c r="K52" s="10"/>
      <c r="L52" s="10"/>
      <c r="M52" s="10"/>
      <c r="N52" s="10"/>
      <c r="O52" s="10"/>
    </row>
    <row r="53" spans="2:15" x14ac:dyDescent="0.3">
      <c r="B53" s="17">
        <v>29</v>
      </c>
      <c r="C53" s="18" t="s">
        <v>65</v>
      </c>
      <c r="D53" s="10"/>
      <c r="E53" s="10"/>
      <c r="F53" s="10"/>
      <c r="G53" s="10"/>
      <c r="H53" s="10"/>
      <c r="I53" s="10"/>
      <c r="J53" s="10"/>
      <c r="K53" s="10"/>
      <c r="L53" s="10"/>
      <c r="M53" s="10"/>
      <c r="N53" s="10"/>
      <c r="O53" s="10"/>
    </row>
    <row r="54" spans="2:15" x14ac:dyDescent="0.3">
      <c r="B54" s="17">
        <v>30</v>
      </c>
      <c r="C54" s="18" t="s">
        <v>66</v>
      </c>
      <c r="D54" s="10"/>
      <c r="E54" s="10"/>
      <c r="F54" s="10"/>
      <c r="G54" s="10"/>
      <c r="H54" s="10"/>
      <c r="I54" s="10"/>
      <c r="J54" s="10"/>
      <c r="K54" s="10"/>
      <c r="L54" s="10"/>
      <c r="M54" s="10"/>
      <c r="N54" s="10"/>
      <c r="O54" s="10"/>
    </row>
  </sheetData>
  <mergeCells count="22">
    <mergeCell ref="H4:H5"/>
    <mergeCell ref="B4:B5"/>
    <mergeCell ref="C4:C5"/>
    <mergeCell ref="D4:D5"/>
    <mergeCell ref="E4:F4"/>
    <mergeCell ref="G4:G5"/>
    <mergeCell ref="B24:B25"/>
    <mergeCell ref="C24:C25"/>
    <mergeCell ref="D24:D25"/>
    <mergeCell ref="E24:F24"/>
    <mergeCell ref="G24:G25"/>
    <mergeCell ref="O24:O25"/>
    <mergeCell ref="I4:J4"/>
    <mergeCell ref="K4:K5"/>
    <mergeCell ref="L4:M4"/>
    <mergeCell ref="N4:N5"/>
    <mergeCell ref="O4:O5"/>
    <mergeCell ref="H24:H25"/>
    <mergeCell ref="I24:J24"/>
    <mergeCell ref="K24:K25"/>
    <mergeCell ref="L24:M24"/>
    <mergeCell ref="N24:N25"/>
  </mergeCells>
  <phoneticPr fontId="1" type="noConversion"/>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09246-991D-4794-A719-4D7474D1889B}">
  <sheetPr codeName="Sheet5"/>
  <dimension ref="B2:J53"/>
  <sheetViews>
    <sheetView topLeftCell="A26" zoomScale="70" zoomScaleNormal="70" workbookViewId="0">
      <selection activeCell="D58" sqref="D58"/>
    </sheetView>
  </sheetViews>
  <sheetFormatPr defaultRowHeight="16.5" x14ac:dyDescent="0.3"/>
  <cols>
    <col min="2" max="2" width="9" style="23"/>
    <col min="3" max="3" width="64.25" style="42" customWidth="1"/>
    <col min="4" max="4" width="56.375" style="23" customWidth="1"/>
    <col min="5" max="5" width="15.875" style="23" customWidth="1"/>
    <col min="9" max="9" width="13.125" bestFit="1" customWidth="1"/>
  </cols>
  <sheetData>
    <row r="2" spans="2:10" ht="17.45" customHeight="1" x14ac:dyDescent="0.3">
      <c r="B2" s="143" t="s">
        <v>36</v>
      </c>
      <c r="C2" s="143"/>
      <c r="D2" s="143"/>
      <c r="E2" s="21"/>
      <c r="F2" s="22"/>
      <c r="G2" s="22"/>
      <c r="H2" s="22"/>
      <c r="I2" s="22"/>
      <c r="J2" s="22"/>
    </row>
    <row r="3" spans="2:10" ht="17.45" customHeight="1" x14ac:dyDescent="0.3">
      <c r="B3" s="143"/>
      <c r="C3" s="143"/>
      <c r="D3" s="143"/>
      <c r="E3" s="21"/>
      <c r="F3" s="22"/>
      <c r="G3" s="22"/>
      <c r="H3" s="22"/>
      <c r="I3" s="22"/>
      <c r="J3" s="22"/>
    </row>
    <row r="4" spans="2:10" ht="17.45" customHeight="1" x14ac:dyDescent="0.3">
      <c r="B4" s="143"/>
      <c r="C4" s="143"/>
      <c r="D4" s="143"/>
      <c r="E4" s="21"/>
      <c r="F4" s="22"/>
      <c r="G4" s="22"/>
      <c r="H4" s="22"/>
      <c r="I4" s="22"/>
      <c r="J4" s="22"/>
    </row>
    <row r="6" spans="2:10" x14ac:dyDescent="0.3">
      <c r="B6" s="144" t="s">
        <v>67</v>
      </c>
      <c r="C6" s="144"/>
      <c r="D6" s="144"/>
    </row>
    <row r="7" spans="2:10" ht="17.25" thickBot="1" x14ac:dyDescent="0.35">
      <c r="B7" s="24" t="s">
        <v>68</v>
      </c>
      <c r="C7" s="24" t="s">
        <v>69</v>
      </c>
      <c r="D7" s="24" t="s">
        <v>70</v>
      </c>
    </row>
    <row r="8" spans="2:10" x14ac:dyDescent="0.3">
      <c r="B8" s="25">
        <v>1</v>
      </c>
      <c r="C8" s="26" t="s">
        <v>38</v>
      </c>
      <c r="D8" s="26"/>
    </row>
    <row r="9" spans="2:10" x14ac:dyDescent="0.3">
      <c r="B9" s="9">
        <v>2</v>
      </c>
      <c r="C9" s="18" t="s">
        <v>39</v>
      </c>
      <c r="D9" s="18"/>
    </row>
    <row r="10" spans="2:10" x14ac:dyDescent="0.3">
      <c r="B10" s="9">
        <v>3</v>
      </c>
      <c r="C10" s="18" t="s">
        <v>40</v>
      </c>
      <c r="D10" s="18" t="s">
        <v>71</v>
      </c>
    </row>
    <row r="11" spans="2:10" x14ac:dyDescent="0.3">
      <c r="B11" s="9">
        <v>4</v>
      </c>
      <c r="C11" s="18" t="s">
        <v>41</v>
      </c>
      <c r="D11" s="18"/>
    </row>
    <row r="12" spans="2:10" x14ac:dyDescent="0.3">
      <c r="B12" s="9">
        <v>5</v>
      </c>
      <c r="C12" s="18" t="s">
        <v>42</v>
      </c>
      <c r="D12" s="18"/>
    </row>
    <row r="13" spans="2:10" x14ac:dyDescent="0.3">
      <c r="B13" s="9">
        <v>6</v>
      </c>
      <c r="C13" s="18" t="s">
        <v>43</v>
      </c>
      <c r="D13" s="18"/>
    </row>
    <row r="14" spans="2:10" x14ac:dyDescent="0.3">
      <c r="B14" s="9"/>
      <c r="C14" s="18"/>
      <c r="D14" s="18"/>
    </row>
    <row r="15" spans="2:10" x14ac:dyDescent="0.3">
      <c r="B15" s="9"/>
      <c r="C15" s="18"/>
      <c r="D15" s="18"/>
    </row>
    <row r="16" spans="2:10" x14ac:dyDescent="0.3">
      <c r="B16" s="9"/>
      <c r="C16" s="18"/>
      <c r="D16" s="18"/>
    </row>
    <row r="17" spans="2:4" x14ac:dyDescent="0.3">
      <c r="B17" s="9"/>
      <c r="C17" s="18"/>
      <c r="D17" s="18"/>
    </row>
    <row r="19" spans="2:4" x14ac:dyDescent="0.3">
      <c r="B19" s="144" t="s">
        <v>72</v>
      </c>
      <c r="C19" s="144"/>
      <c r="D19" s="144"/>
    </row>
    <row r="20" spans="2:4" ht="17.25" thickBot="1" x14ac:dyDescent="0.35">
      <c r="B20" s="24" t="s">
        <v>68</v>
      </c>
      <c r="C20" s="24" t="s">
        <v>69</v>
      </c>
      <c r="D20" s="24" t="s">
        <v>70</v>
      </c>
    </row>
    <row r="21" spans="2:4" x14ac:dyDescent="0.3">
      <c r="B21" s="25">
        <v>1</v>
      </c>
      <c r="C21" s="26" t="s">
        <v>44</v>
      </c>
      <c r="D21" s="26"/>
    </row>
    <row r="22" spans="2:4" x14ac:dyDescent="0.3">
      <c r="B22" s="9">
        <v>2</v>
      </c>
      <c r="C22" s="18" t="s">
        <v>45</v>
      </c>
      <c r="D22" s="18"/>
    </row>
    <row r="23" spans="2:4" x14ac:dyDescent="0.3">
      <c r="B23" s="9">
        <v>3</v>
      </c>
      <c r="C23" s="18" t="s">
        <v>46</v>
      </c>
      <c r="D23" s="18"/>
    </row>
    <row r="24" spans="2:4" x14ac:dyDescent="0.3">
      <c r="B24" s="9">
        <v>4</v>
      </c>
      <c r="C24" s="18" t="s">
        <v>47</v>
      </c>
      <c r="D24" s="18"/>
    </row>
    <row r="25" spans="2:4" x14ac:dyDescent="0.3">
      <c r="B25" s="9">
        <v>5</v>
      </c>
      <c r="C25" s="18" t="s">
        <v>48</v>
      </c>
      <c r="D25" s="18"/>
    </row>
    <row r="26" spans="2:4" x14ac:dyDescent="0.3">
      <c r="B26" s="9">
        <v>6</v>
      </c>
      <c r="C26" s="18" t="s">
        <v>49</v>
      </c>
      <c r="D26" s="18"/>
    </row>
    <row r="27" spans="2:4" x14ac:dyDescent="0.3">
      <c r="B27" s="9">
        <v>7</v>
      </c>
      <c r="C27" s="18" t="s">
        <v>50</v>
      </c>
      <c r="D27" s="18"/>
    </row>
    <row r="28" spans="2:4" x14ac:dyDescent="0.3">
      <c r="B28" s="9">
        <v>8</v>
      </c>
      <c r="C28" s="18" t="s">
        <v>51</v>
      </c>
      <c r="D28" s="18"/>
    </row>
    <row r="29" spans="2:4" x14ac:dyDescent="0.3">
      <c r="B29" s="9">
        <v>9</v>
      </c>
      <c r="C29" s="18" t="s">
        <v>52</v>
      </c>
      <c r="D29" s="18"/>
    </row>
    <row r="30" spans="2:4" x14ac:dyDescent="0.3">
      <c r="B30" s="9">
        <v>10</v>
      </c>
      <c r="C30" s="18" t="s">
        <v>53</v>
      </c>
      <c r="D30" s="18" t="s">
        <v>73</v>
      </c>
    </row>
    <row r="31" spans="2:4" ht="33" x14ac:dyDescent="0.3">
      <c r="B31" s="9">
        <v>11</v>
      </c>
      <c r="C31" s="18" t="s">
        <v>54</v>
      </c>
      <c r="D31" s="20" t="s">
        <v>74</v>
      </c>
    </row>
    <row r="32" spans="2:4" x14ac:dyDescent="0.3">
      <c r="B32" s="9">
        <v>12</v>
      </c>
      <c r="C32" s="18" t="s">
        <v>55</v>
      </c>
      <c r="D32" s="9"/>
    </row>
    <row r="33" spans="2:5" x14ac:dyDescent="0.3">
      <c r="B33" s="9">
        <v>13</v>
      </c>
      <c r="C33" s="18" t="s">
        <v>56</v>
      </c>
      <c r="D33" s="18" t="s">
        <v>75</v>
      </c>
    </row>
    <row r="34" spans="2:5" x14ac:dyDescent="0.3">
      <c r="B34" s="9">
        <v>14</v>
      </c>
      <c r="C34" s="18" t="s">
        <v>57</v>
      </c>
      <c r="D34" s="9"/>
    </row>
    <row r="35" spans="2:5" x14ac:dyDescent="0.3">
      <c r="B35" s="9">
        <v>15</v>
      </c>
      <c r="C35" s="18" t="s">
        <v>76</v>
      </c>
      <c r="D35" s="9"/>
    </row>
    <row r="36" spans="2:5" x14ac:dyDescent="0.3">
      <c r="B36" s="9"/>
      <c r="C36" s="18"/>
      <c r="D36" s="9"/>
    </row>
    <row r="37" spans="2:5" x14ac:dyDescent="0.3">
      <c r="B37" s="9"/>
      <c r="C37" s="18"/>
      <c r="D37" s="9"/>
    </row>
    <row r="38" spans="2:5" x14ac:dyDescent="0.3">
      <c r="B38" s="9"/>
      <c r="C38" s="18"/>
      <c r="D38" s="9"/>
    </row>
    <row r="40" spans="2:5" x14ac:dyDescent="0.3">
      <c r="B40" s="144" t="s">
        <v>77</v>
      </c>
      <c r="C40" s="144"/>
      <c r="D40" s="144"/>
    </row>
    <row r="41" spans="2:5" x14ac:dyDescent="0.3">
      <c r="B41" s="27" t="s">
        <v>68</v>
      </c>
      <c r="C41" s="27" t="s">
        <v>69</v>
      </c>
      <c r="D41" s="27" t="s">
        <v>70</v>
      </c>
    </row>
    <row r="42" spans="2:5" x14ac:dyDescent="0.3">
      <c r="B42" s="9">
        <v>1</v>
      </c>
      <c r="C42" s="18" t="s">
        <v>78</v>
      </c>
      <c r="D42" s="18" t="s">
        <v>79</v>
      </c>
    </row>
    <row r="43" spans="2:5" x14ac:dyDescent="0.3">
      <c r="B43" s="9">
        <v>2</v>
      </c>
      <c r="C43" s="18" t="s">
        <v>80</v>
      </c>
      <c r="D43" s="9"/>
    </row>
    <row r="44" spans="2:5" x14ac:dyDescent="0.3">
      <c r="B44" s="9"/>
      <c r="C44" s="18"/>
      <c r="D44" s="9"/>
    </row>
    <row r="45" spans="2:5" x14ac:dyDescent="0.3">
      <c r="B45" s="9"/>
      <c r="C45" s="18"/>
      <c r="D45" s="9"/>
    </row>
    <row r="48" spans="2:5" x14ac:dyDescent="0.3">
      <c r="B48" s="28"/>
      <c r="C48" s="29" t="s">
        <v>81</v>
      </c>
      <c r="D48" s="30" t="s">
        <v>82</v>
      </c>
      <c r="E48" s="31" t="s">
        <v>83</v>
      </c>
    </row>
    <row r="49" spans="2:5" ht="49.5" x14ac:dyDescent="0.3">
      <c r="B49" s="32">
        <v>1</v>
      </c>
      <c r="C49" s="20" t="s">
        <v>84</v>
      </c>
      <c r="D49" s="33" t="s">
        <v>85</v>
      </c>
      <c r="E49" s="34" t="s">
        <v>86</v>
      </c>
    </row>
    <row r="50" spans="2:5" x14ac:dyDescent="0.3">
      <c r="B50" s="35">
        <v>2</v>
      </c>
      <c r="C50" s="36" t="s">
        <v>87</v>
      </c>
      <c r="D50" s="37" t="s">
        <v>88</v>
      </c>
      <c r="E50" s="38" t="s">
        <v>89</v>
      </c>
    </row>
    <row r="51" spans="2:5" ht="33" x14ac:dyDescent="0.3">
      <c r="B51" s="32">
        <v>3</v>
      </c>
      <c r="C51" s="18" t="s">
        <v>90</v>
      </c>
      <c r="D51" s="39" t="s">
        <v>91</v>
      </c>
      <c r="E51" s="34" t="s">
        <v>92</v>
      </c>
    </row>
    <row r="52" spans="2:5" ht="33" x14ac:dyDescent="0.3">
      <c r="B52" s="35">
        <v>4</v>
      </c>
      <c r="C52" s="40" t="s">
        <v>93</v>
      </c>
      <c r="D52" s="41" t="s">
        <v>94</v>
      </c>
      <c r="E52" s="38" t="s">
        <v>95</v>
      </c>
    </row>
    <row r="53" spans="2:5" ht="33" x14ac:dyDescent="0.3">
      <c r="B53" s="32">
        <v>5</v>
      </c>
      <c r="C53" s="18" t="s">
        <v>96</v>
      </c>
      <c r="D53" s="33" t="s">
        <v>97</v>
      </c>
      <c r="E53" s="34" t="s">
        <v>89</v>
      </c>
    </row>
  </sheetData>
  <mergeCells count="4">
    <mergeCell ref="B2:D4"/>
    <mergeCell ref="B6:D6"/>
    <mergeCell ref="B19:D19"/>
    <mergeCell ref="B40:D40"/>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동시이동 FW 상세 변경내용</vt:lpstr>
      <vt:lpstr>Summary</vt:lpstr>
      <vt:lpstr>25.01요약</vt:lpstr>
      <vt:lpstr>Sheet5</vt:lpstr>
      <vt:lpstr>Sheet3</vt:lpstr>
      <vt:lpstr>Sheet4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Choi Yeon Beom</dc:creator>
  <cp:lastModifiedBy>user10</cp:lastModifiedBy>
  <cp:lastPrinted>2022-09-06T07:38:06Z</cp:lastPrinted>
  <dcterms:created xsi:type="dcterms:W3CDTF">2022-09-06T04:33:56Z</dcterms:created>
  <dcterms:modified xsi:type="dcterms:W3CDTF">2025-04-29T07:50:33Z</dcterms:modified>
</cp:coreProperties>
</file>